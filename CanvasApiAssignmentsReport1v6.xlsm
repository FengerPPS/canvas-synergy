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G:\My Drive\IT\Grade Sync\"/>
    </mc:Choice>
  </mc:AlternateContent>
  <xr:revisionPtr revIDLastSave="0" documentId="13_ncr:1_{62A751B6-F2B8-4995-AF96-7C4C7ADD7645}" xr6:coauthVersionLast="47" xr6:coauthVersionMax="47" xr10:uidLastSave="{00000000-0000-0000-0000-000000000000}"/>
  <bookViews>
    <workbookView xWindow="-120" yWindow="-120" windowWidth="29040" windowHeight="15960" firstSheet="1" activeTab="1" xr2:uid="{00000000-000D-0000-FFFF-FFFF00000000}"/>
  </bookViews>
  <sheets>
    <sheet name="Settings" sheetId="3" state="veryHidden" r:id="rId1"/>
    <sheet name="Main report" sheetId="1" r:id="rId2"/>
    <sheet name="Analytics" sheetId="5" r:id="rId3"/>
    <sheet name="Info" sheetId="7" r:id="rId4"/>
    <sheet name="Columns" sheetId="8" r:id="rId5"/>
  </sheets>
  <functionGroups builtInGroupCount="19"/>
  <definedNames>
    <definedName name="_xlnm._FilterDatabase" localSheetId="1" hidden="1">'Main report'!$A$4:$BI$85</definedName>
    <definedName name="_xlnm.Print_Titles" localSheetId="1">'Main report'!$A:$A,'Main report'!#REF!</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85" i="1" l="1"/>
  <c r="M45" i="1"/>
  <c r="M24" i="1"/>
  <c r="M5" i="1"/>
  <c r="D19" i="8"/>
  <c r="D20" i="8"/>
  <c r="D21" i="8"/>
  <c r="D22" i="8"/>
  <c r="D23" i="8"/>
  <c r="D11" i="8"/>
  <c r="D12" i="8"/>
  <c r="D13" i="8"/>
  <c r="D14" i="8"/>
  <c r="D15" i="8"/>
  <c r="D16" i="8"/>
  <c r="D17" i="8"/>
  <c r="D18" i="8"/>
  <c r="D1" i="8"/>
  <c r="D2" i="8"/>
  <c r="D3" i="8"/>
  <c r="D4" i="8"/>
  <c r="D5" i="8"/>
  <c r="D6" i="8"/>
  <c r="D7" i="8"/>
  <c r="D8" i="8"/>
  <c r="D9" i="8"/>
  <c r="D10" i="8"/>
  <c r="B10"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9" i="8"/>
  <c r="B8" i="8"/>
  <c r="B7" i="8"/>
  <c r="B6" i="8"/>
  <c r="B5" i="8"/>
  <c r="B4" i="8"/>
  <c r="B3" i="8"/>
  <c r="B2" i="8"/>
  <c r="B1" i="8"/>
  <c r="B38" i="5"/>
  <c r="B3" i="1"/>
  <c r="C2" i="5"/>
  <c r="B4" i="5" a="1"/>
  <c r="B4" i="5" s="1"/>
  <c r="B3" i="5"/>
  <c r="B6" i="5" s="1"/>
  <c r="B8" i="5" a="1"/>
  <c r="B8" i="5" s="1"/>
  <c r="B9" i="5" a="1"/>
  <c r="B9" i="5" s="1"/>
  <c r="B10" i="5" a="1"/>
  <c r="B10" i="5" s="1"/>
  <c r="B11" i="5" a="1"/>
  <c r="B11" i="5" s="1"/>
  <c r="B12" i="5"/>
  <c r="B13" i="5"/>
  <c r="B14" i="5"/>
  <c r="B17" i="5"/>
  <c r="B16" i="5"/>
  <c r="B18" i="5"/>
  <c r="B19" i="5"/>
  <c r="B20" i="5"/>
  <c r="B21" i="5"/>
  <c r="B22" i="5"/>
  <c r="B23" i="5"/>
  <c r="B24" i="5"/>
  <c r="B25" i="5"/>
  <c r="B26" i="5"/>
  <c r="B27" i="5"/>
  <c r="B29" i="5"/>
  <c r="B30" i="5"/>
  <c r="B32" i="5"/>
  <c r="B33" i="5"/>
  <c r="B34" i="5"/>
  <c r="B39" i="5"/>
  <c r="B41" i="5"/>
  <c r="B42" i="5"/>
  <c r="B43" i="5"/>
  <c r="B44" i="5"/>
  <c r="B45" i="5"/>
  <c r="B46" i="5"/>
  <c r="B47" i="5"/>
  <c r="B48" i="5"/>
  <c r="B49" i="5"/>
  <c r="B50" i="5"/>
  <c r="B51" i="5"/>
  <c r="B53" i="5"/>
  <c r="B54" i="5"/>
  <c r="B55" i="5"/>
  <c r="B56" i="5"/>
  <c r="B57" i="5"/>
  <c r="B58" i="5"/>
  <c r="B59" i="5"/>
  <c r="B60" i="5"/>
  <c r="B61" i="5" s="1"/>
  <c r="B73" i="5"/>
  <c r="B74" i="5"/>
  <c r="B75" i="5"/>
  <c r="B76" i="5"/>
  <c r="B77" i="5"/>
  <c r="B78" i="5"/>
  <c r="B80" i="5"/>
  <c r="B81" i="5"/>
  <c r="B82" i="5"/>
  <c r="B83" i="5"/>
  <c r="B84" i="5"/>
  <c r="B85" i="5"/>
  <c r="B86" i="5"/>
  <c r="B87" i="5"/>
  <c r="B88" i="5"/>
  <c r="B89" i="5"/>
  <c r="B90" i="5"/>
  <c r="B91" i="5"/>
  <c r="B92" i="5"/>
  <c r="B93" i="5"/>
  <c r="B94" i="5"/>
  <c r="B95" i="5"/>
  <c r="B96" i="5"/>
  <c r="B97" i="5"/>
  <c r="B98" i="5"/>
  <c r="B99" i="5"/>
  <c r="B100" i="5"/>
  <c r="B101" i="5"/>
  <c r="B102" i="5"/>
  <c r="B79" i="5" a="1"/>
  <c r="B79" i="5" s="1"/>
  <c r="C94" i="5" l="1"/>
  <c r="C57" i="5"/>
  <c r="C83" i="5"/>
  <c r="C95" i="5"/>
  <c r="C58" i="5"/>
  <c r="B36" i="5"/>
  <c r="C36" i="5" s="1"/>
  <c r="C93" i="5"/>
  <c r="C81" i="5"/>
  <c r="C43" i="5"/>
  <c r="C78" i="5"/>
  <c r="C77" i="5"/>
  <c r="C101" i="5"/>
  <c r="C89" i="5"/>
  <c r="C51" i="5"/>
  <c r="C20" i="5"/>
  <c r="C49" i="5"/>
  <c r="C41" i="5"/>
  <c r="C100" i="5"/>
  <c r="C87" i="5"/>
  <c r="C73" i="5"/>
  <c r="C30" i="5"/>
  <c r="C17" i="5"/>
  <c r="C91" i="5"/>
  <c r="C102" i="5"/>
  <c r="C98" i="5"/>
  <c r="C97" i="5"/>
  <c r="C85" i="5"/>
  <c r="C90" i="5"/>
  <c r="C88" i="5"/>
  <c r="C86" i="5"/>
  <c r="C48" i="5"/>
  <c r="C61" i="5"/>
  <c r="C29" i="5"/>
  <c r="C96" i="5"/>
  <c r="C84" i="5"/>
  <c r="C74" i="5"/>
  <c r="C54" i="5"/>
  <c r="C24" i="5"/>
  <c r="C45" i="5"/>
  <c r="C32" i="5"/>
  <c r="C22" i="5"/>
  <c r="C75" i="5"/>
  <c r="C55" i="5"/>
  <c r="C46" i="5"/>
  <c r="C33" i="5"/>
  <c r="C25" i="5"/>
  <c r="C99" i="5"/>
  <c r="C39" i="5"/>
  <c r="C27" i="5"/>
  <c r="C19" i="5"/>
  <c r="C76" i="5"/>
  <c r="C56" i="5"/>
  <c r="C47" i="5"/>
  <c r="C34" i="5"/>
  <c r="C26" i="5"/>
  <c r="C18" i="5"/>
  <c r="C82" i="5"/>
  <c r="C53" i="5"/>
  <c r="C44" i="5"/>
  <c r="C23" i="5"/>
  <c r="C16" i="5"/>
  <c r="C92" i="5"/>
  <c r="C80" i="5"/>
  <c r="C50" i="5"/>
  <c r="C42" i="5"/>
  <c r="C21" i="5"/>
  <c r="C13" i="5"/>
  <c r="D59" i="5"/>
  <c r="C38" i="5"/>
  <c r="D56" i="5"/>
  <c r="D81" i="5"/>
  <c r="C9" i="5"/>
  <c r="D75" i="5"/>
  <c r="C6" i="5"/>
  <c r="D73" i="5"/>
  <c r="D57" i="5"/>
  <c r="C14" i="5"/>
  <c r="C11" i="5"/>
  <c r="C10" i="5"/>
  <c r="C8" i="5"/>
  <c r="B37" i="5"/>
  <c r="C37" i="5" s="1"/>
  <c r="B5" i="5"/>
  <c r="C5" i="5" s="1"/>
  <c r="C4" i="5"/>
  <c r="B69" i="5"/>
  <c r="B65" i="5"/>
  <c r="B66" i="5"/>
  <c r="B70" i="5"/>
  <c r="B71" i="5"/>
  <c r="C71" i="5" s="1"/>
  <c r="B63" i="5"/>
  <c r="B64" i="5"/>
  <c r="B67" i="5"/>
  <c r="B68" i="5"/>
  <c r="D82" i="5"/>
  <c r="D74" i="5"/>
  <c r="D80" i="5"/>
  <c r="D76" i="5"/>
  <c r="D58" i="5"/>
  <c r="D77" i="5"/>
  <c r="C12" i="5"/>
  <c r="C59" i="5"/>
  <c r="D55" i="5"/>
  <c r="C66" i="5" l="1"/>
  <c r="D66" i="5"/>
  <c r="C68" i="5"/>
  <c r="D68" i="5"/>
  <c r="C69" i="5"/>
  <c r="D69" i="5"/>
  <c r="D67" i="5"/>
  <c r="C67" i="5"/>
  <c r="D65" i="5"/>
  <c r="C65" i="5"/>
  <c r="C64" i="5"/>
  <c r="D64" i="5"/>
  <c r="D63" i="5"/>
  <c r="C63" i="5"/>
  <c r="D70" i="5"/>
  <c r="C70"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Jaap Stelpstra</author>
    <author>Nick Fenger</author>
  </authors>
  <commentList>
    <comment ref="K2" authorId="0" shapeId="0" xr:uid="{00000000-0006-0000-0100-000001000000}">
      <text>
        <r>
          <rPr>
            <sz val="9"/>
            <color indexed="81"/>
            <rFont val="Tahoma"/>
            <family val="2"/>
          </rPr>
          <t xml:space="preserve">Change this date to dynamically highlight dates in the past (e.g. old dates from imported assignments). You can use the Excel formula =TODAY() or =TODAY()-7 (is today minus 7 days) or fill in a valid date. Leave this cell empty to disable it.
Also when the due_at date and the lock_at date are different, the lock_at date is highlighted.
</t>
        </r>
        <r>
          <rPr>
            <i/>
            <sz val="9"/>
            <color indexed="81"/>
            <rFont val="Tahoma"/>
            <family val="2"/>
          </rPr>
          <t>Dates of assignments with multiple due dates cannot be highlighted.</t>
        </r>
      </text>
    </comment>
    <comment ref="I5" authorId="1" shapeId="0" xr:uid="{0EA9C983-551D-4D56-9046-356C8AD1D9A9}">
      <text>
        <r>
          <rPr>
            <sz val="9"/>
            <color indexed="81"/>
            <rFont val="Tahoma"/>
            <charset val="1"/>
          </rPr>
          <t>&lt;p&gt;&amp;nbsp;&lt;/p&gt;_x000D_
&lt;p&gt;&lt;img src="https://www.nrm.org/wp2016/wp-content/uploads/2018/11/1913-May-7-Rube-Goldberg-invention-cartoon-detail-flies-off-baby.jpg" alt="The Art and Wit of Rube Goldberg - Norman Rockwell Museum - The Home for  American Illustration"&gt;&lt;/p&gt;_x000D_
&lt;p&gt;Create a slide show that contains a collection of images, drawings or videos you will use as inspiration for your work.&amp;nbsp; Include the following:&lt;/p&gt;_x000D_
&lt;ul&gt;_x000D_
&lt;li&gt;&amp;nbsp;Define 6 simple machines and show examples of how they work.&amp;nbsp;&lt;/li&gt;_x000D_
&lt;li&gt;Find images/drawings/videos of 5 Rube Goldberg machines that you are inspired by.&amp;nbsp;&amp;nbsp;&lt;/li&gt;_x000D_
&lt;/ul&gt;_x000D_
&lt;p&gt;&amp;nbsp;&lt;/p&gt;</t>
        </r>
      </text>
    </comment>
    <comment ref="M5" authorId="1" shapeId="0" xr:uid="{6872E0D2-74E1-4AF8-9B24-A15569E122AD}">
      <text>
        <r>
          <rPr>
            <sz val="9"/>
            <color indexed="81"/>
            <rFont val="Tahoma"/>
            <charset val="1"/>
          </rPr>
          <t>This assignment has multiple submission_types:_x000D_
online_text_entry_x000D_
online_url_x000D_
online_upload</t>
        </r>
      </text>
    </comment>
    <comment ref="I6" authorId="1" shapeId="0" xr:uid="{E17863A6-E97A-43B2-B718-696365F8B1FB}">
      <text>
        <r>
          <rPr>
            <sz val="9"/>
            <color indexed="81"/>
            <rFont val="Tahoma"/>
            <charset val="1"/>
          </rPr>
          <t>&lt;p&gt;Please complete this &lt;a class="inline_disabled" href="https://docs.google.com/document/d/1c5N1y7I_bHMTIu7opaGjFQ0vZ1s0Gqv9_A8flCxswR0/copy" target="_blank"&gt;report &lt;/a&gt;to update me on your status:&lt;/p&gt;_x000D_
&lt;p&gt;Share it with your team and complete it together. Don't forget to share it with &lt;a href="mailto:nfenger@pps.net" target="_blank"&gt;nfenger@pps.net&lt;/a&gt; or &lt;a href="mailto:aluboff@pps.net" target="_blank"&gt;aluboff@pps.net&lt;/a&gt; too!&lt;/p&gt;_x000D_
&lt;p&gt;Only one of your teammates needs to submit&amp;nbsp;&lt;/p&gt;_x000D_
&lt;p&gt;If you NEVER made a calendar &lt;span&gt;Make a&amp;nbsp;&lt;/span&gt;&lt;a class="inline_disabled external" href="https://docs.google.com/spreadsheets/d/1HfVRsZEjyNp8KTn-J5N5Ed11fDofyhK5-XOHnZAXmww/copy" target="_blank"&gt;&lt;span&gt;copy of this calendar&lt;/span&gt;&lt;/a&gt; link.&amp;nbsp; Otherwise update the one you already made.&amp;nbsp;&lt;/p&gt;</t>
        </r>
      </text>
    </comment>
    <comment ref="I7" authorId="1" shapeId="0" xr:uid="{F2DF8728-39E3-47CE-88B0-A115499ED621}">
      <text>
        <r>
          <rPr>
            <sz val="9"/>
            <color indexed="81"/>
            <rFont val="Tahoma"/>
            <charset val="1"/>
          </rPr>
          <t>&lt;p&gt;Make a copy of the document below by &lt;a class="inline_disabled" href="https://docs.google.com/document/d/1VgPTr8sR0IdLjKxtAeR0dddc9E8as-dfIiSJBmPPFMk/copy" target="_blank"&gt;clicking this link&lt;/a&gt; and share with &lt;a href="mailto:nfenger@pps.net" target="_blank"&gt;nfenger@pps.net&lt;/a&gt; or &lt;a href="mailto:aluboff@pps.net" target="_blank"&gt;aluboff@pps.net&lt;/a&gt; and your teammate(s).&amp;nbsp;&lt;/p&gt;_x000D_
&lt;ol&gt;_x000D_
&lt;li&gt;Replace [TEAM MEMBERS] in the document name with your names&lt;/li&gt;_x000D_
&lt;li&gt;Copy/Paste your Mid Project Report into this document (there is a section for it)&lt;/li&gt;_x000D_
&lt;li&gt;Complete the rest of the report&lt;/li&gt;_x000D_
&lt;li&gt;Each team member should complete the self-assessment at the end of the report.&lt;/li&gt;_x000D_
&lt;/ol&gt;_x000D_
&lt;p&gt;All Team members will work on the report but only one needs to submit for the group.&lt;/p&gt;_x000D_
&lt;p&gt;&lt;iframe src="https://docs.google.com/document/d/1VgPTr8sR0IdLjKxtAeR0dddc9E8as-dfIiSJBmPPFMk/preview" width="100%" height="450px"&gt;&lt;/iframe&gt;&lt;/p&gt;</t>
        </r>
      </text>
    </comment>
    <comment ref="I11" authorId="1" shapeId="0" xr:uid="{6E681105-057E-4F30-BE1B-EE7115CEE588}">
      <text>
        <r>
          <rPr>
            <sz val="9"/>
            <color indexed="81"/>
            <rFont val="Tahoma"/>
            <charset val="1"/>
          </rPr>
          <t>&lt;p&gt;If don't see the quiz questions below, &lt;a class="inline_disabled" href="https://docs.google.com/document/d/1klnYnk5e8huACYBEtZhB6lFEp-cCOHFryqzYmQ90k8c/preview" target="_blank"&gt;click here&lt;/a&gt;. &lt;iframe src="https://docs.google.com/document/d/1klnYnk5e8huACYBEtZhB6lFEp-cCOHFryqzYmQ90k8c/preview" width="100%" height="450px"&gt;&lt;/iframe&gt;&lt;/p&gt;</t>
        </r>
      </text>
    </comment>
    <comment ref="I22" authorId="1" shapeId="0" xr:uid="{8D319AD5-D8AA-45B1-AF1E-020DB4660BF6}">
      <text>
        <r>
          <rPr>
            <sz val="9"/>
            <color indexed="81"/>
            <rFont val="Tahoma"/>
            <charset val="1"/>
          </rPr>
          <t>&lt;p&gt;Submit a sketch of your Rube Goldberg project plan (you plan may change after submitting this sketch)&lt;/p&gt;_x000D_
&lt;p&gt;Your sketch must show the specs from below:&lt;/p&gt;_x000D_
&lt;p&gt;&amp;nbsp;&lt;/p&gt;_x000D_
&lt;p&gt;&lt;img src="https://live.staticflickr.com/65535/52048618126_abc330499b_o.png"&gt;&lt;/p&gt;</t>
        </r>
      </text>
    </comment>
    <comment ref="I23" authorId="1" shapeId="0" xr:uid="{8FEF7368-5F1A-4206-A778-48DDA34FE60F}">
      <text>
        <r>
          <rPr>
            <sz val="9"/>
            <color indexed="81"/>
            <rFont val="Tahoma"/>
            <charset val="1"/>
          </rPr>
          <t>&lt;p&gt;Draw 3 simple machines in Onshape and upload a screenshot of them. If you made a CAD model of your project with them you can submit that model.&lt;/p&gt;_x000D_
&lt;p&gt;This is NOT a group assignment, each member must submit their own.&lt;/p&gt;</t>
        </r>
      </text>
    </comment>
    <comment ref="I24" authorId="1" shapeId="0" xr:uid="{BA48C917-A2FB-4386-B7C5-6997B8FEEE6C}">
      <text>
        <r>
          <rPr>
            <sz val="9"/>
            <color indexed="81"/>
            <rFont val="Tahoma"/>
            <charset val="1"/>
          </rPr>
          <t>&lt;p&gt;Make a copy of this &lt;a class="inline_disabled" href="https://docs.google.com/document/d/1MChoaiZIQkKLOlPO5mllvFnFUuYyCO2Q4-ycTwLlLmM/" target="_blank"&gt;document&lt;/a&gt; and share it with your teacher &lt;a href="mailto:nfenger@pps.nt" target="_blank"&gt;nfenger@pps.net&lt;/a&gt; or &lt;a href="mailto:aluboff@pps.net" target="_blank"&gt;aluboff@pps.net&lt;/a&gt;&amp;nbsp; and your partner. Complete it with your partner and be sure to score yourself with the rubric at the end.&lt;/p&gt;_x000D_
&lt;p&gt;This is a group assignment so only one member needs to submit it.&lt;/p&gt;</t>
        </r>
      </text>
    </comment>
    <comment ref="M24" authorId="1" shapeId="0" xr:uid="{845DB1DD-5318-44C9-88E9-EFCB08FAB3E8}">
      <text>
        <r>
          <rPr>
            <sz val="9"/>
            <color indexed="81"/>
            <rFont val="Tahoma"/>
            <charset val="1"/>
          </rPr>
          <t>This assignment has multiple submission_types:_x000D_
online_text_entry_x000D_
online_url_x000D_
online_upload</t>
        </r>
      </text>
    </comment>
    <comment ref="I26" authorId="1" shapeId="0" xr:uid="{4B5A12BC-A044-4DD3-820E-F611368F6291}">
      <text>
        <r>
          <rPr>
            <sz val="9"/>
            <color indexed="81"/>
            <rFont val="Tahoma"/>
            <charset val="1"/>
          </rPr>
          <t>&lt;p&gt;Make a copy of the document below by &lt;a class="inline_disabled" href="https://docs.google.com/document/d/1c-MkDPJfJACFPd7aynMdUlFxB5qeWm0GBxZM6YyJFS0/copy" target="_blank"&gt;clicking this link &lt;/a&gt;and share with &lt;a href="mailto:nfenger@pps.net" target="_blank"&gt;nfenger@pps.net&lt;/a&gt; and your teammate(s).&amp;nbsp;&lt;/p&gt;_x000D_
&lt;ol&gt;_x000D_
&lt;li&gt;Replace [TEAM MEMBERS] in the document name with your names&lt;/li&gt;_x000D_
&lt;li&gt;Complete the title page&lt;/li&gt;_x000D_
&lt;li&gt;Complete &lt;strong&gt;ONLY &lt;/strong&gt;these sections for Bridge #1:&lt;/li&gt;_x000D_
&lt;/ol&gt;_x000D_
&lt;p style="padding-left: 40px;"&gt;&lt;strong&gt;Design Description &amp;nbsp; &amp;nbsp;&lt;/strong&gt;&lt;/p&gt;_x000D_
&lt;p style="padding-left: 40px;"&gt;&lt;strong&gt;Bridge #1&amp;nbsp;&lt;/strong&gt;&lt;br&gt;&lt;strong&gt;&amp;nbsp; &amp;nbsp; Summary&lt;/strong&gt;&lt;br&gt;&lt;strong&gt;&amp;nbsp; &amp;nbsp; Design Details&lt;/strong&gt;&lt;br&gt;&lt;strong&gt;&amp;nbsp; &amp;nbsp; Expected Performance Analysis&lt;br&gt;&lt;span style="color: #ba372a;"&gt;&amp;nbsp; &amp;nbsp; &amp;nbsp; &amp;nbsp;(Only include EngiLab Truss analysis in this section- You will add the OnScale Solve analysis later)&lt;/span&gt;&lt;/strong&gt;&lt;strong&gt;&lt;/strong&gt;&lt;/p&gt;_x000D_
&lt;p style="padding-left: 40px;"&gt;&lt;strong&gt;Evaluation of Actual Performance&lt;/strong&gt;&lt;br&gt;&lt;strong&gt;&amp;nbsp; &amp;nbsp; Bridge #1 Overall Performance&lt;/strong&gt;&lt;br&gt;&lt;strong&gt;&amp;nbsp; &amp;nbsp; Bridge #1 Failure Analysis&lt;/strong&gt;&lt;/p&gt;_x000D_
&lt;p&gt;All Team members will work on the report but only one needs to submit for the group.&lt;/p&gt;_x000D_
&lt;p&gt;&lt;iframe src="https://docs.google.com/document/d/1c-MkDPJfJACFPd7aynMdUlFxB5qeWm0GBxZM6YyJFS0/preview" width="100%" height="450px"&gt;&lt;/iframe&gt;&lt;/p&gt;</t>
        </r>
      </text>
    </comment>
    <comment ref="I27" authorId="1" shapeId="0" xr:uid="{98C4BFC8-B8D3-4A58-A4A0-9CFCAE4CDE19}">
      <text>
        <r>
          <rPr>
            <sz val="9"/>
            <color indexed="81"/>
            <rFont val="Tahoma"/>
            <charset val="1"/>
          </rPr>
          <t>&lt;p&gt;Continue to modify the report you already submitted with your second bridge analysis.&lt;/p&gt;_x000D_
&lt;p&gt;Don't forget to add the Assembly Drawings for your best bridge.&lt;/p&gt;_x000D_
&lt;p&gt;&lt;span style="color: #ba372a;"&gt;&lt;span style="color: #ba372a;"&gt;&lt;strong&gt;BOTH EngiLab Truss Analysis and OnScale Solve are required&amp;nbsp;for each model.&lt;/strong&gt;&lt;/span&gt;&lt;/span&gt;&lt;strong&gt;&lt;/strong&gt;&lt;strong&gt;&lt;/strong&gt;&lt;/p&gt;_x000D_
&lt;p&gt;All Team members will work on the report but only one needs to submit for the group.&lt;/p&gt;_x000D_
&lt;p&gt;&lt;iframe src="https://docs.google.com/document/d/1c-MkDPJfJACFPd7aynMdUlFxB5qeWm0GBxZM6YyJFS0/preview" width="100%" height="450px"&gt;&lt;/iframe&gt;&lt;/p&gt;</t>
        </r>
      </text>
    </comment>
    <comment ref="I28" authorId="1" shapeId="0" xr:uid="{52F68DEE-CDA7-427E-B8D0-3C8F4297DB6C}">
      <text>
        <r>
          <rPr>
            <sz val="9"/>
            <color indexed="81"/>
            <rFont val="Tahoma"/>
            <charset val="1"/>
          </rPr>
          <t>&lt;p&gt;Make a copy of &lt;a class="inline_disabled" href="https://docs.google.com/document/d/12josJqMinYrQ5lqvbMzB4yO97Wdp_hRWUySkyHXLdno/edit#" target="_blank"&gt;this document&lt;/a&gt; , share it with &lt;a href="mailto:nfenger@pps.net" target="_blank"&gt;nfenger@pps.net&lt;/a&gt; and complete it with your team members.&lt;/p&gt;_x000D_
&lt;p&gt;&amp;nbsp;&lt;/p&gt;_x000D_
&lt;p&gt;Each team member must complete the rubric in the document but only one person from your team needs to submit the link.&amp;nbsp;&lt;/p&gt;</t>
        </r>
      </text>
    </comment>
    <comment ref="I29" authorId="1" shapeId="0" xr:uid="{417E0C4C-815C-47E0-BC58-0B2A8487318D}">
      <text>
        <r>
          <rPr>
            <sz val="9"/>
            <color indexed="81"/>
            <rFont val="Tahoma"/>
            <charset val="1"/>
          </rPr>
          <t>&lt;p&gt;Copy &lt;a class="inline_disabled" href="https://docs.google.com/document/d/1elcLsvn8Pbngc4zLUi349khS18RxqdojfG-vsPOgRGw/" target="_blank"&gt;this document&lt;/a&gt; and share it with &lt;a href="mailto:nfenger@pps.net" target="_blank"&gt;nfenger@pps.net&amp;nbsp;&lt;/a&gt;&lt;/p&gt;_x000D_
&lt;p&gt;Complete it with your team members. Each team member must complete the reflection portion. Only one team member needs to submit the document for their team.&amp;nbsp;&lt;/p&gt;</t>
        </r>
      </text>
    </comment>
    <comment ref="I30" authorId="1" shapeId="0" xr:uid="{55E5C249-8F7F-4BCB-B1E5-9E892D0C8790}">
      <text>
        <r>
          <rPr>
            <sz val="9"/>
            <color indexed="81"/>
            <rFont val="Tahoma"/>
            <charset val="1"/>
          </rPr>
          <t>&lt;p&gt;Make a copy of the document below by &lt;a class="inline_disabled" href="https://docs.google.com/document/d/1c-MkDPJfJACFPd7aynMdUlFxB5qeWm0GBxZM6YyJFS0/copy" target="_blank"&gt;clicking this link &lt;/a&gt;and share with &lt;a href="mailto:nfenger@pps.net" target="_blank"&gt;nfenger@pps.net&lt;/a&gt; and your teammate(s).&amp;nbsp;&lt;/p&gt;_x000D_
&lt;ol&gt;_x000D_
&lt;li&gt;Replace [TEAM MEMBERS] in the document name with your names&lt;/li&gt;_x000D_
&lt;li&gt;Complete the title page&lt;/li&gt;_x000D_
&lt;li&gt;Complete ONLY these sections for Bridge #1:&lt;/li&gt;_x000D_
&lt;/ol&gt;_x000D_
&lt;p style="padding-left: 40px;"&gt;Design Description &amp;nbsp; &amp;nbsp;&lt;/p&gt;_x000D_
&lt;p style="padding-left: 40px;"&gt;Bridge #1&amp;nbsp;&lt;br&gt;&amp;nbsp; &amp;nbsp; Summary&lt;br&gt;&amp;nbsp; &amp;nbsp; Design Details&lt;br&gt;&amp;nbsp; &amp;nbsp; Expected Performance Analysis&lt;/p&gt;_x000D_
&lt;p style="padding-left: 40px;"&gt;Evaluation of Actual Performance&lt;br&gt;&amp;nbsp; &amp;nbsp; Bridge #1 Overall Performance&lt;br&gt;&amp;nbsp; &amp;nbsp; Bridge #1 Failure Analysis&lt;/p&gt;_x000D_
&lt;p&gt;All Team members will work on the report but only one needs to submit for the group.&lt;/p&gt;_x000D_
&lt;p&gt;&lt;iframe src="https://docs.google.com/document/d/1c-MkDPJfJACFPd7aynMdUlFxB5qeWm0GBxZM6YyJFS0/preview" width="100%" height="450px"&gt;&lt;/iframe&gt;&lt;/p&gt;</t>
        </r>
      </text>
    </comment>
    <comment ref="I31" authorId="1" shapeId="0" xr:uid="{B4BB5BA6-0DE0-48CA-B9A0-3118EA1DBC1A}">
      <text>
        <r>
          <rPr>
            <sz val="9"/>
            <color indexed="81"/>
            <rFont val="Tahoma"/>
            <charset val="1"/>
          </rPr>
          <t>&lt;p&gt;Continue to modify the report you already submitted with your second bridge analysis.&lt;/p&gt;_x000D_
&lt;p&gt;&lt;span style="color: #ba372a;"&gt;&lt;span style="color: #ba372a;"&gt;&lt;strong&gt;BOTH EngiLab Truss Analysis and OnScale Solve are required&amp;nbsp;for each model.&lt;/strong&gt;&lt;/span&gt;&lt;/span&gt;&lt;strong&gt;&lt;/strong&gt;&lt;/p&gt;_x000D_
&lt;p&gt;All Team members will work on the report but only one needs to submit for the group.&lt;/p&gt;_x000D_
&lt;p&gt;&lt;iframe src="https://docs.google.com/document/d/1c-MkDPJfJACFPd7aynMdUlFxB5qeWm0GBxZM6YyJFS0/preview" width="100%" height="450px"&gt;&lt;/iframe&gt;&lt;/p&gt;</t>
        </r>
      </text>
    </comment>
    <comment ref="I32" authorId="1" shapeId="0" xr:uid="{8F03F7C2-5B17-4802-9FB2-D42ABDEF42F4}">
      <text>
        <r>
          <rPr>
            <sz val="9"/>
            <color indexed="81"/>
            <rFont val="Tahoma"/>
            <charset val="1"/>
          </rPr>
          <t>&lt;p&gt;Make a copy of &lt;a class="inline_disabled" href="https://docs.google.com/document/d/12josJqMinYrQ5lqvbMzB4yO97Wdp_hRWUySkyHXLdno/edit#" target="_blank"&gt;this document&lt;/a&gt; , share it with &lt;a href="mailto:nfenger@pps.net" target="_blank"&gt;nfenger@pps.net&lt;/a&gt; and complete it with your team members.&lt;/p&gt;_x000D_
&lt;p&gt;&amp;nbsp;&lt;/p&gt;_x000D_
&lt;p&gt;Each team member must complete the rubric in the document but only one person from your team needs to submit the link.&amp;nbsp;&lt;/p&gt;</t>
        </r>
      </text>
    </comment>
    <comment ref="I33" authorId="1" shapeId="0" xr:uid="{7A48C273-8321-4529-BCEF-C81D5F6B50E2}">
      <text>
        <r>
          <rPr>
            <sz val="9"/>
            <color indexed="81"/>
            <rFont val="Tahoma"/>
            <charset val="1"/>
          </rPr>
          <t>&lt;p&gt;Copy &lt;a class="inline_disabled" href="https://docs.google.com/document/d/1elcLsvn8Pbngc4zLUi349khS18RxqdojfG-vsPOgRGw/" target="_blank"&gt;this document&lt;/a&gt; and share it with &lt;a href="mailto:nfenger@pps.net" target="_blank"&gt;nfenger@pps.net&amp;nbsp;&lt;/a&gt;&lt;/p&gt;_x000D_
&lt;p&gt;Complete it with your team members. Each team member must complete the reflection portion. Only one team member needs to submit the document for their team.&amp;nbsp;&lt;/p&gt;</t>
        </r>
      </text>
    </comment>
    <comment ref="I34" authorId="1" shapeId="0" xr:uid="{B3EE6AA0-2A39-44D4-9F75-86E004916F7A}">
      <text>
        <r>
          <rPr>
            <sz val="9"/>
            <color indexed="81"/>
            <rFont val="Tahoma"/>
            <charset val="1"/>
          </rPr>
          <t>&lt;p&gt;Find your video here: &lt;a href="https://ppsnet71745-my.sharepoint.com/:f:/g/personal/nfenger_pps_net/Ej6uljyXL7ZEgx85dhKOVgEBJz0ZoePHWsSuifQS9c7uyw?e=XHwHnO"&gt;Sumo Videos&lt;/a&gt;&lt;/p&gt;_x000D_
&lt;ol&gt;_x000D_
&lt;li&gt;Click on your video so you can watch it&lt;/li&gt;_x000D_
&lt;li&gt;Copy the URL from the browser by clicking on it (you may have to use [Control]+a to select it)&lt;/li&gt;_x000D_
&lt;li&gt;Copy it with [Control]+c&lt;/li&gt;_x000D_
&lt;li&gt;Paste it below with [Control]+v&amp;nbsp;&lt;/li&gt;_x000D_
&lt;/ol&gt;_x000D_
&lt;p&gt;Only one member of your team needs to submit your video.&lt;/p&gt;</t>
        </r>
      </text>
    </comment>
    <comment ref="I35" authorId="1" shapeId="0" xr:uid="{A6C72423-8C58-4DB3-97AE-8A7176EA19EF}">
      <text>
        <r>
          <rPr>
            <sz val="9"/>
            <color indexed="81"/>
            <rFont val="Tahoma"/>
            <charset val="1"/>
          </rPr>
          <t>&lt;p&gt;&lt;img src="https://education.vex.com/xyleme_content/speedy-delivery/web/media/Activity%20Packs/V5%20Warehouse/RaiseLowerArm/V5ClawbotArmUp-ClawClosed.jpg" alt="" width="393" height="406"&gt;&lt;/p&gt;_x000D_
&lt;div class="RichText"&gt;In the Flight Traffic Controller Challenge, the Clawbot must move its arm up and down once for 90 degrees, wait 3 seconds, move the arm up and down two times for 45 degrees, wait 5 seconds, and then move the arm up and down three times for 90 degrees.&lt;/div&gt;_x000D_
&lt;div id="b63a6442-aa9c-45bd-9418-0c61e1adfedf" class="List" data-build=""&gt;_x000D_
&lt;div class="ListPreamble"&gt;Here is a list of the Clawbot's behaviors:&lt;/div&gt;_x000D_
&lt;ul class="ListItems Bullet "&gt;_x000D_
&lt;li class="ListItem"&gt;_x000D_
&lt;div class="RichText"&gt;Move arm up and then down for 90 degrees.&lt;/div&gt;_x000D_
&lt;/li&gt;_x000D_
&lt;li class="ListItem"&gt;_x000D_
&lt;div class="RichText"&gt;Wait 3 seconds.&lt;/div&gt;_x000D_
&lt;/li&gt;_x000D_
&lt;li class="ListItem"&gt;_x000D_
&lt;div class="RichText"&gt;Move arm up and then down for 45 degrees.&lt;/div&gt;_x000D_
&lt;/li&gt;_x000D_
&lt;li class="ListItem"&gt;_x000D_
&lt;div class="RichText"&gt;Move arm up and then down for 45 degrees.&lt;/div&gt;_x000D_
&lt;/li&gt;_x000D_
&lt;li class="ListItem"&gt;_x000D_
&lt;div class="RichText"&gt;Wait 5 seconds.&lt;/div&gt;_x000D_
&lt;/li&gt;_x000D_
&lt;li class="ListItem"&gt;_x000D_
&lt;div class="RichText"&gt;Move arm up and then down for 90 degrees.&lt;/div&gt;_x000D_
&lt;/li&gt;_x000D_
&lt;li class="ListItem"&gt;_x000D_
&lt;div class="RichText"&gt;Move arm up and then down for 90 degrees.&lt;/div&gt;_x000D_
&lt;/li&gt;_x000D_
&lt;li class="ListItem"&gt;_x000D_
&lt;div class="RichText"&gt;Move arm up and then down for 90 degrees.&lt;/div&gt;_x000D_
&lt;/li&gt;_x000D_
&lt;/ul&gt;_x000D_
&lt;/div&gt;</t>
        </r>
      </text>
    </comment>
    <comment ref="I36" authorId="1" shapeId="0" xr:uid="{D5245BBF-F16A-4919-9C10-863D7A432413}">
      <text>
        <r>
          <rPr>
            <sz val="9"/>
            <color indexed="81"/>
            <rFont val="Tahoma"/>
            <charset val="1"/>
          </rPr>
          <t>&lt;p&gt;Please ensure your kits are organized!&lt;/p&gt;_x000D_
&lt;p&gt;You lose one point for every incorrectly counted part :( Myself and Robotics parents will be checking your counts!!!&lt;/p&gt;_x000D_
&lt;p&gt;If you are missing parts please update your printed tally sheet AND the "&lt;a class="inline_disabled" href="https://lms.pps.net/courses/64302/external_tools/7944" target="_blank"&gt;Missing Legos"&lt;/a&gt; form (to the left in the menu)&lt;/p&gt;_x000D_
&lt;p&gt;Please make sure you look through the missing part bin before filling out the form, if you find a missing part please go back to the form and change the number of missing pieces.&amp;nbsp;&lt;/p&gt;_x000D_
&lt;p&gt;&amp;nbsp;&lt;/p&gt;_x000D_
&lt;p&gt;&amp;nbsp;&lt;/p&gt;_x000D_
&lt;p&gt;&amp;nbsp;&lt;/p&gt;</t>
        </r>
      </text>
    </comment>
    <comment ref="I37" authorId="1" shapeId="0" xr:uid="{B95EB785-7444-4AD7-B759-D3D6F2F46F12}">
      <text>
        <r>
          <rPr>
            <sz val="9"/>
            <color indexed="81"/>
            <rFont val="Tahoma"/>
            <charset val="1"/>
          </rPr>
          <t>&lt;p&gt;&lt;img src="https://education.vex.com/xyleme_content/medbot/web/media/Activity%20Packs/Medbot/BasketballDrills.jpg" width="800" height="347"&gt;&lt;/p&gt;_x000D_
&lt;p&gt;In the Basketball Drills Challenge, the robot must be able to navigate a series of lines at different distances. The robot will travel forward to the first line which is 10 cm from the starting position, wait 1 second, and then travel backwards returning to that same line. The robot will then repeat the action by driving forward 20 cm to the second line, wait 1 second, and then drive backward to the original starting line. The robot will drive forward to the third line with a distance of 40 cm, wait 1 second, and then finally return to the starting line to finish the challenge.&lt;br&gt;&lt;br&gt;Before programming the robot, plan out the robot's path and behaviors in your engineering notebook.&lt;br&gt;&lt;br&gt;After completing the Basketball Challenge, you will be able to combine forward and reverse movements with additional robot behaviors to complete even more advanced challenges.&lt;br&gt;&lt;br&gt;Keep in mind when programming that 1 cm = 10 mm&lt;/p&gt;</t>
        </r>
      </text>
    </comment>
    <comment ref="I38" authorId="1" shapeId="0" xr:uid="{617F98F3-F289-42F3-A21B-4E9103CA5668}">
      <text>
        <r>
          <rPr>
            <sz val="9"/>
            <color indexed="81"/>
            <rFont val="Tahoma"/>
            <charset val="1"/>
          </rPr>
          <t>&lt;p&gt;We will build the first VEX robot.&amp;nbsp;&lt;/p&gt;_x000D_
&lt;p&gt;Follow the instructions here: &lt;a href="https://education.vex.com/parent-wrapper.php?id=robo-rally"&gt;https://education.vex.com/parent-wrapper.php?id=robo-rally&lt;/a&gt;&lt;/p&gt;_x000D_
&lt;p&gt;Here is a pdf version of the instructions: &lt;a href="https://content.vexrobotics.com/docs/V5-Clawbot-BuildInstructions.pdf"&gt;https://content.vexrobotics.com/docs/V5-Clawbot-BuildInstructions.pdf&lt;/a&gt;&lt;/p&gt;_x000D_
&lt;p&gt;&lt;img src="https://i.imgur.com/6q6PonK.png" alt="" width="578" height="386"&gt;&lt;/p&gt;</t>
        </r>
      </text>
    </comment>
    <comment ref="I39" authorId="1" shapeId="0" xr:uid="{6376CB95-3C14-4148-88B5-7D64FEC5EF36}">
      <text>
        <r>
          <rPr>
            <sz val="9"/>
            <color indexed="81"/>
            <rFont val="Tahoma"/>
            <charset val="1"/>
          </rPr>
          <t>&lt;p&gt;&lt;img src="https://education.vex.com/xyleme_content/medbot/web/media/Activity%20Packs/Medbot/Security%20Challenge.jpg" alt=""&gt;&lt;/p&gt;_x000D_
&lt;p&gt;In the Security Camera Challenge, the robot must start by turning to the right 90 degrees. The robot will then turn to the left 180 degrees then right 180 degrees “scanning” just like a security camera. The robot will then repeat turning 180 degrees to the left and 180 degrees to the right an additional two more times. Thus, the robot will scan 180 degrees three times total.&lt;br&gt;&lt;br&gt;Before programming the robot, plan out the robot's path and behaviors in your engineering notebook.&lt;br&gt;&lt;br&gt;After completing the Security Camera Challenge, you will be able to combine forward and backwards movements with additional robot behaviors to complete even more advanced challenges.&lt;/p&gt;</t>
        </r>
      </text>
    </comment>
    <comment ref="I40" authorId="1" shapeId="0" xr:uid="{903D69CE-9A30-4A54-9EBF-132F9C3D870F}">
      <text>
        <r>
          <rPr>
            <sz val="9"/>
            <color indexed="81"/>
            <rFont val="Tahoma"/>
            <charset val="1"/>
          </rPr>
          <t>&lt;h1 class="Title"&gt;&lt;img class="FigureImage" style="font-family: sans-serif; font-size: 1rem;" title="" src="https://education.vex.com/xyleme_content/medbot/web/media/Activity%20Packs/Medbot/HospitalLayout-v4.jpg" alt="" aria-label="Automed Challenge hospital layout with VEX V5 Speedbot"&gt;&lt;/h1&gt;_x000D_
&lt;div class="ParaBlock"&gt;_x000D_
&lt;div class="Figure Wrap"&gt;_x000D_
&lt;div id="e01e627f-a8af-4661-8c59-21a764f0bea9-caption" class="Caption"&gt;Automed Challenge hospital layout with VEX V5 Speedbot&lt;/div&gt;_x000D_
&lt;/div&gt;_x000D_
&lt;/div&gt;_x000D_
&lt;section class="TitledBlock" aria-labelledby="5ec0210c-19c9-4b13-80ea-b19a30ddafc9-title"&gt;_x000D_
&lt;h1 id="5ec0210c-19c9-4b13-80ea-b19a30ddafc9-title"&gt;Automed Challenge&lt;/h1&gt;_x000D_
&lt;div class="ParaBlock"&gt;_x000D_
&lt;div class="RichText"&gt;In this challenge, you need to program your robot to navigate a hospital as it delivers medications to patients in several different rooms.&lt;/div&gt;_x000D_
&lt;div id="5c3adb3a-ab7c-4c96-b6ff-b7713fcfcdbb" class="List" data-build=""&gt;_x000D_
&lt;div class="ListPreamble"&gt;Challenge Rules&lt;/div&gt;_x000D_
&lt;ul class="ListItems Bullet "&gt;_x000D_
&lt;li class="ListItem"&gt;_x000D_
&lt;div class="RichText"&gt;The robot must begin and end in the Start Zone.&lt;/div&gt;_x000D_
&lt;/li&gt;_x000D_
&lt;li class="ListItem"&gt;_x000D_
&lt;div class="RichText"&gt;The entire robot must be inside the Pharmacy, Elevator, and Patient Rooms and wait for the following times in order to complete the actions:&lt;/div&gt;_x000D_
&lt;div id="5c3adb3a-ab7c-4c96-b6ff-b7713fcfcdbb---cid-d2e4815---cid-d2e4819---cid-d2e4822-" class="List" data-build=""&gt;_x000D_
&lt;ul class="ListItems Bullet "&gt;_x000D_
&lt;li class="ListItem"&gt;_x000D_
&lt;div class="RichText"&gt;Pharmacy: Wait at least 5 seconds to pickup medications.&lt;/div&gt;_x000D_
&lt;/li&gt;_x000D_
&lt;li class="ListItem"&gt;_x000D_
&lt;div class="RichText"&gt;Elevator: Wait at least 5 seconds to reach another floor.&lt;/div&gt;_x000D_
&lt;/li&gt;_x000D_
&lt;li class="ListItem"&gt;_x000D_
&lt;div class="RichText"&gt;Patient Room: Wait at least 3 seconds to drop off medications.&lt;/div&gt;_x000D_
&lt;/li&gt;_x000D_
&lt;/ul&gt;_x000D_
&lt;/div&gt;_x000D_
&lt;/li&gt;_x000D_
&lt;li class="ListItem"&gt;_x000D_
&lt;div class="RichText"&gt;The robot must not come into contact with or pass over any walls.&lt;/div&gt;_x000D_
&lt;/li&gt;_x000D_
&lt;li class="ListItem"&gt;_x000D_
&lt;div class="RichText"&gt;The robot must visit the Pharmacy first to pickup medications for Patient Rooms.&lt;/div&gt;_x000D_
&lt;/li&gt;_x000D_
&lt;li class="ListItem"&gt;_x000D_
&lt;div class="RichText"&gt;The robot must visit each of the Patient Rooms (in no particular order) to drop off medication.&lt;/div&gt;_x000D_
&lt;/li&gt;_x000D_
&lt;li class="ListItem"&gt;_x000D_
&lt;div class="RichText"&gt;Have fun!&lt;/div&gt;_x000D_
&lt;/li&gt;_x000D_
&lt;/ul&gt;_x000D_
&lt;h1 id="5ec0210c-19c9-4b13-80ea-b19a30ddafc9-title"&gt;Extension&lt;/h1&gt;_x000D_
&lt;ul class="ListItems Bullet "&gt;_x000D_
&lt;li class="ListItem"&gt;_x000D_
&lt;div class="RichText"&gt;Add a conveyor system to actually deliver medicine (Medbot may be pre-loaded with Meds)&lt;/div&gt;_x000D_
&lt;/li&gt;_x000D_
&lt;/ul&gt;_x000D_
&lt;/div&gt;_x000D_
&lt;/div&gt;_x000D_
&lt;/section&gt;</t>
        </r>
      </text>
    </comment>
    <comment ref="I41" authorId="1" shapeId="0" xr:uid="{30B2108F-4C0E-40A2-82F3-3265F0DD2EB4}">
      <text>
        <r>
          <rPr>
            <sz val="9"/>
            <color indexed="81"/>
            <rFont val="Tahoma"/>
            <charset val="1"/>
          </rPr>
          <t>&lt;p&gt;Use the printed or &lt;a href="https://content.vexrobotics.com/docs/V5-Clawbot-BuildInstructions.pdf"&gt;online&lt;/a&gt; build Instructions to add the claw to your robot.&amp;nbsp;&lt;/p&gt;_x000D_
&lt;p&gt;&lt;img src="https://education.vex.com/xyleme_content/speedy-delivery/web/media/Activity%20Packs/V5%20Hazardous%20Rescue/Build%20Instructions/V5Clawbot-NoVisionSensor.jpg" alt="" width="549" height="500"&gt;&lt;/p&gt;</t>
        </r>
      </text>
    </comment>
    <comment ref="I42" authorId="1" shapeId="0" xr:uid="{945DBAEB-1105-452D-BB34-C4D0710A88E1}">
      <text>
        <r>
          <rPr>
            <sz val="9"/>
            <color indexed="81"/>
            <rFont val="Tahoma"/>
            <charset val="1"/>
          </rPr>
          <t>&lt;p&gt;&lt;img src="https://education.vex.com/xyleme_content/speedy-delivery/web/media/Activity%20Packs/V5%20Speedy%20Delivery/V5_BookMaze-NoGraphics.jpg" alt="" width="956" height="957"&gt;&lt;/p&gt;_x000D_
&lt;h1 id="2c84267f-458e-40b9-bb6d-13ee3813100b-title"&gt;Package Dash Challenge&lt;/h1&gt;_x000D_
&lt;div class="ParaBlock"&gt;_x000D_
&lt;div class="RichText"&gt;In this challenge, you will program your robot to pick up packages and bring them to a loading dock as fast as possible!&lt;/div&gt;_x000D_
&lt;div id="b9810fc1-1de3-4c02-a980-2467f9934f69" class="List" data-build=""&gt;_x000D_
&lt;div class="ListPreamble"&gt;Challenge rules:&lt;/div&gt;_x000D_
&lt;ul class="ListItems Bullet "&gt;_x000D_
&lt;li class="ListItem"&gt;_x000D_
&lt;div class="RichText"&gt;The robot must begin the challenge in the Start Zone.&lt;/div&gt;_x000D_
&lt;/li&gt;_x000D_
&lt;li class="ListItem"&gt;_x000D_
&lt;div class="RichText"&gt;The packages (aluminum cans) can only come in contact with the books, the Clawbot's claw, and the Loading Dock.&lt;/div&gt;_x000D_
&lt;div id="b9810fc1-1de3-4c02-a980-2467f9934f69---cid-d2e4996---cid-d2e5000---cid-d2e5003-" class="List" data-build=""&gt;_x000D_
&lt;ul class="ListItems Disk "&gt;_x000D_
&lt;li class="ListItem"&gt;_x000D_
&lt;div class="RichText"&gt;If a package is dropped on the warehouse ground, you must reset the field and start over again.&lt;/div&gt;_x000D_
&lt;/li&gt;_x000D_
&lt;/ul&gt;_x000D_
&lt;/div&gt;_x000D_
&lt;/li&gt;_x000D_
&lt;li class="ListItem"&gt;_x000D_
&lt;div class="RichText"&gt;The time for each run starts as soon as the robot moves.&lt;/div&gt;_x000D_
&lt;/li&gt;_x000D_
&lt;li class="ListItem"&gt;_x000D_
&lt;div class="RichText"&gt;The time stops as soon as the last package is dropped in the Loading Dock.&lt;/div&gt;_x000D_
&lt;/li&gt;_x000D_
&lt;li class="ListItem"&gt;_x000D_
&lt;div class="RichText"&gt;When resetting the field, everything should be returned to the exact location as it started.&lt;/div&gt;_x000D_
&lt;/li&gt;_x000D_
&lt;li class="ListItem"&gt;_x000D_
&lt;div class="RichText"&gt;Have fun!&lt;/div&gt;_x000D_
&lt;/li&gt;_x000D_
&lt;/ul&gt;_x000D_
&lt;/div&gt;_x000D_
&lt;/div&gt;</t>
        </r>
      </text>
    </comment>
    <comment ref="I43" authorId="1" shapeId="0" xr:uid="{03466B8C-E5AA-4B61-B4D6-E3EE156FD0E1}">
      <text>
        <r>
          <rPr>
            <sz val="9"/>
            <color indexed="81"/>
            <rFont val="Tahoma"/>
            <charset val="1"/>
          </rPr>
          <t>&lt;p&gt;Spin in a circle and pick up a blue can&lt;/p&gt;</t>
        </r>
      </text>
    </comment>
    <comment ref="I44" authorId="1" shapeId="0" xr:uid="{F143DE85-AED6-4B1B-B589-5A95DBC63032}">
      <text>
        <r>
          <rPr>
            <sz val="9"/>
            <color indexed="81"/>
            <rFont val="Tahoma"/>
            <charset val="1"/>
          </rPr>
          <t>&lt;p&gt;Turn and grab a can and place it on the warehouse dock or another place identified by a color&amp;nbsp;&lt;/p&gt;</t>
        </r>
      </text>
    </comment>
    <comment ref="I45" authorId="1" shapeId="0" xr:uid="{8CE389CB-5CAA-47D9-B772-D98A3FA12944}">
      <text>
        <r>
          <rPr>
            <sz val="9"/>
            <color indexed="81"/>
            <rFont val="Tahoma"/>
            <charset val="1"/>
          </rPr>
          <t>&lt;p&gt;Upload Your Soccer Video or share it via YouTube&lt;/p&gt;</t>
        </r>
      </text>
    </comment>
    <comment ref="M45" authorId="1" shapeId="0" xr:uid="{E5A20565-5CDE-4221-B32F-E5E164D3EA63}">
      <text>
        <r>
          <rPr>
            <sz val="9"/>
            <color indexed="81"/>
            <rFont val="Tahoma"/>
            <charset val="1"/>
          </rPr>
          <t>This assignment has multiple submission_types:_x000D_
online_url_x000D_
media_recording_x000D_
online_upload</t>
        </r>
      </text>
    </comment>
    <comment ref="I49" authorId="1" shapeId="0" xr:uid="{1580EA0B-6611-4D73-BA09-AF3AC4FEFE92}">
      <text>
        <r>
          <rPr>
            <sz val="9"/>
            <color indexed="81"/>
            <rFont val="Tahoma"/>
            <charset val="1"/>
          </rPr>
          <t>&lt;p&gt;If don't see the quiz questions below, &lt;a class="inline_disabled" href="https://docs.google.com/document/d/1klnYnk5e8huACYBEtZhB6lFEp-cCOHFryqzYmQ90k8c/preview" target="_blank"&gt;click here&lt;/a&gt;. &lt;iframe src="https://docs.google.com/document/d/1klnYnk5e8huACYBEtZhB6lFEp-cCOHFryqzYmQ90k8c/preview" width="100%" height="450px"&gt;&lt;/iframe&gt;&lt;/p&gt;</t>
        </r>
      </text>
    </comment>
    <comment ref="I60" authorId="1" shapeId="0" xr:uid="{9C9B40C6-6A11-4FB3-82F0-DD0D074432D8}">
      <text>
        <r>
          <rPr>
            <sz val="9"/>
            <color indexed="81"/>
            <rFont val="Tahoma"/>
            <charset val="1"/>
          </rPr>
          <t>&lt;p&gt;Find your video here: &lt;a href="https://ppsnet71745-my.sharepoint.com/:f:/g/personal/nfenger_pps_net/Ej6uljyXL7ZEgx85dhKOVgEBJz0ZoePHWsSuifQS9c7uyw?e=XHwHnO"&gt;Sumo Videos&lt;/a&gt;&lt;/p&gt;_x000D_
&lt;ol&gt;_x000D_
&lt;li&gt;Click on your video so you can watch it&lt;/li&gt;_x000D_
&lt;li&gt;Copy the URL from the browser by clicking on it (you may have to use [Control]+a to select it)&lt;/li&gt;_x000D_
&lt;li&gt;Copy it with [Control]+c&lt;/li&gt;_x000D_
&lt;li&gt;Paste it below with [Control]+v&amp;nbsp;&lt;/li&gt;_x000D_
&lt;/ol&gt;_x000D_
&lt;p&gt;Only one member of your team needs to submit your video.&lt;/p&gt;</t>
        </r>
      </text>
    </comment>
    <comment ref="I61" authorId="1" shapeId="0" xr:uid="{1BDE840A-439D-4E98-A869-AD62A2EBBC1A}">
      <text>
        <r>
          <rPr>
            <sz val="9"/>
            <color indexed="81"/>
            <rFont val="Tahoma"/>
            <charset val="1"/>
          </rPr>
          <t>&lt;p&gt;Please ensure your kits are organized!&lt;/p&gt;_x000D_
&lt;p&gt;You lose one point for every incorrectly counted part :( Myself and Robotics parents will be checking your counts!!!&lt;/p&gt;_x000D_
&lt;p&gt;If you are missing parts please update your printed tally sheet AND the "&lt;a class="inline_disabled" href="https://lms.pps.net/courses/80436/external_tools/7944" target="_blank"&gt;Missing Legos"&lt;/a&gt; form (to the left in the menu)&lt;/p&gt;_x000D_
&lt;p&gt;Please make sure you look through the missing part bin before filling out the form, if you find a missing part please go back to the form and change the number of missing pieces.&amp;nbsp;&lt;/p&gt;_x000D_
&lt;p&gt;&amp;nbsp;&lt;/p&gt;_x000D_
&lt;p&gt;&amp;nbsp;&lt;/p&gt;_x000D_
&lt;p&gt;&amp;nbsp;&lt;/p&gt;</t>
        </r>
      </text>
    </comment>
    <comment ref="I62" authorId="1" shapeId="0" xr:uid="{C8F9A099-0312-4E56-B122-5DA76FCF78F8}">
      <text>
        <r>
          <rPr>
            <sz val="9"/>
            <color indexed="81"/>
            <rFont val="Tahoma"/>
            <charset val="1"/>
          </rPr>
          <t>&lt;p&gt;We will build the first VEX robot.&amp;nbsp;&lt;/p&gt;_x000D_
&lt;p&gt;Follow the instructions here: &lt;a href="https://education.vex.com/parent-wrapper.php?id=robo-rally"&gt;https://education.vex.com/parent-wrapper.php?id=robo-rally&lt;/a&gt;&lt;/p&gt;_x000D_
&lt;p&gt;Here is a pdf version of the instructions: &lt;a href="https://content.vexrobotics.com/docs/V5-Clawbot-BuildInstructions.pdf"&gt;https://content.vexrobotics.com/docs/V5-Clawbot-BuildInstructions.pdf&lt;/a&gt;&lt;/p&gt;_x000D_
&lt;p&gt;&lt;img src="https://i.imgur.com/6q6PonK.png" alt="" width="578" height="386"&gt;&lt;/p&gt;</t>
        </r>
      </text>
    </comment>
    <comment ref="I63" authorId="1" shapeId="0" xr:uid="{344E9810-344C-430D-8AD1-A852B117A9F4}">
      <text>
        <r>
          <rPr>
            <sz val="9"/>
            <color indexed="81"/>
            <rFont val="Tahoma"/>
            <charset val="1"/>
          </rPr>
          <t>&lt;p&gt;&lt;img src="https://education.vex.com/xyleme_content/medbot/web/media/Activity%20Packs/Medbot/BasketballDrills.jpg" width="800" height="347"&gt;&lt;/p&gt;_x000D_
&lt;p&gt;In the Basketball Drills Challenge, the robot must be able to navigate a series of lines at different distances. The robot will travel forward to the first line which is 10 cm from the starting position, wait 1 second, and then travel backwards returning to that same line. The robot will then repeat the action by driving forward 20 cm to the second line, wait 1 second, and then drive backward to the original starting line. The robot will drive forward to the third line with a distance of 40 cm, wait 1 second, and then finally return to the starting line to finish the challenge.&lt;br&gt;&lt;br&gt;Before programming the robot, plan out the robot's path and behaviors in your engineering notebook.&lt;br&gt;&lt;br&gt;After completing the Basketball Challenge, you will be able to combine forward and reverse movements with additional robot behaviors to complete even more advanced challenges.&lt;br&gt;&lt;br&gt;Keep in mind when programming that 1 cm = 10 mm&lt;/p&gt;</t>
        </r>
      </text>
    </comment>
    <comment ref="I64" authorId="1" shapeId="0" xr:uid="{34112806-394E-4147-9F30-9BBBF7084B2F}">
      <text>
        <r>
          <rPr>
            <sz val="9"/>
            <color indexed="81"/>
            <rFont val="Tahoma"/>
            <charset val="1"/>
          </rPr>
          <t>&lt;p&gt;&lt;img src="https://education.vex.com/xyleme_content/medbot/web/media/Activity%20Packs/Medbot/Security%20Challenge.jpg" alt=""&gt;&lt;/p&gt;_x000D_
&lt;p&gt;In the Security Camera Challenge, the robot must start by turning to the right 90 degrees. The robot will then turn to the left 180 degrees then right 180 degrees “scanning” just like a security camera. The robot will then repeat turning 180 degrees to the left and 180 degrees to the right an additional two more times. Thus, the robot will scan 180 degrees three times total.&lt;br&gt;&lt;br&gt;Before programming the robot, plan out the robot's path and behaviors in your engineering notebook.&lt;br&gt;&lt;br&gt;After completing the Security Camera Challenge, you will be able to combine forward and backwards movements with additional robot behaviors to complete even more advanced challenges.&lt;/p&gt;</t>
        </r>
      </text>
    </comment>
    <comment ref="I65" authorId="1" shapeId="0" xr:uid="{F79A1307-8BC9-442C-9B26-0BC25C9BA2E7}">
      <text>
        <r>
          <rPr>
            <sz val="9"/>
            <color indexed="81"/>
            <rFont val="Tahoma"/>
            <charset val="1"/>
          </rPr>
          <t>&lt;h1 class="Title"&gt;&lt;img class="FigureImage" style="font-family: sans-serif; font-size: 1rem;" title="" src="https://education.vex.com/xyleme_content/medbot/web/media/Activity%20Packs/Medbot/HospitalLayout-v4.jpg" alt="" aria-label="Automed Challenge hospital layout with VEX V5 Speedbot"&gt;&lt;/h1&gt;_x000D_
&lt;div class="ParaBlock"&gt;_x000D_
&lt;div class="Figure Wrap"&gt;_x000D_
&lt;div id="e01e627f-a8af-4661-8c59-21a764f0bea9-caption" class="Caption"&gt;Automed Challenge hospital layout with VEX V5 Speedbot&lt;/div&gt;_x000D_
&lt;/div&gt;_x000D_
&lt;/div&gt;_x000D_
&lt;section class="TitledBlock" aria-labelledby="5ec0210c-19c9-4b13-80ea-b19a30ddafc9-title"&gt;_x000D_
&lt;h1 id="5ec0210c-19c9-4b13-80ea-b19a30ddafc9-title"&gt;Automed Challenge&lt;/h1&gt;_x000D_
&lt;div class="ParaBlock"&gt;_x000D_
&lt;div class="RichText"&gt;In this challenge, you need to program your robot to navigate a hospital as it delivers medications to patients in several different rooms.&lt;/div&gt;_x000D_
&lt;div id="5c3adb3a-ab7c-4c96-b6ff-b7713fcfcdbb" class="List" data-build=""&gt;_x000D_
&lt;div class="ListPreamble"&gt;Challenge Rules&lt;/div&gt;_x000D_
&lt;ul class="ListItems Bullet "&gt;_x000D_
&lt;li class="ListItem"&gt;_x000D_
&lt;div class="RichText"&gt;The robot must begin and end in the Start Zone.&lt;/div&gt;_x000D_
&lt;/li&gt;_x000D_
&lt;li class="ListItem"&gt;_x000D_
&lt;div class="RichText"&gt;The entire robot must be inside the Pharmacy, Elevator, and Patient Rooms and wait for the following times in order to complete the actions:&lt;/div&gt;_x000D_
&lt;div id="5c3adb3a-ab7c-4c96-b6ff-b7713fcfcdbb---cid-d2e4815---cid-d2e4819---cid-d2e4822-" class="List" data-build=""&gt;_x000D_
&lt;ul class="ListItems Bullet "&gt;_x000D_
&lt;li class="ListItem"&gt;_x000D_
&lt;div class="RichText"&gt;Pharmacy: Wait at least 5 seconds to pickup medications.&lt;/div&gt;_x000D_
&lt;/li&gt;_x000D_
&lt;li class="ListItem"&gt;_x000D_
&lt;div class="RichText"&gt;Elevator: Wait at least 5 seconds to reach another floor.&lt;/div&gt;_x000D_
&lt;/li&gt;_x000D_
&lt;li class="ListItem"&gt;_x000D_
&lt;div class="RichText"&gt;Patient Room: Wait at least 3 seconds to drop off medications.&lt;/div&gt;_x000D_
&lt;/li&gt;_x000D_
&lt;/ul&gt;_x000D_
&lt;/div&gt;_x000D_
&lt;/li&gt;_x000D_
&lt;li class="ListItem"&gt;_x000D_
&lt;div class="RichText"&gt;The robot must not come into contact with or pass over any walls.&lt;/div&gt;_x000D_
&lt;/li&gt;_x000D_
&lt;li class="ListItem"&gt;_x000D_
&lt;div class="RichText"&gt;The robot must visit the Pharmacy first to pickup medications for Patient Rooms.&lt;/div&gt;_x000D_
&lt;/li&gt;_x000D_
&lt;li class="ListItem"&gt;_x000D_
&lt;div class="RichText"&gt;The robot must visit each of the Patient Rooms (in no particular order) to drop off medication.&lt;/div&gt;_x000D_
&lt;/li&gt;_x000D_
&lt;li class="ListItem"&gt;_x000D_
&lt;div class="RichText"&gt;Have fun!&lt;/div&gt;_x000D_
&lt;/li&gt;_x000D_
&lt;/ul&gt;_x000D_
&lt;h1 id="5ec0210c-19c9-4b13-80ea-b19a30ddafc9-title"&gt;Extension&lt;/h1&gt;_x000D_
&lt;ul class="ListItems Bullet "&gt;_x000D_
&lt;li class="ListItem"&gt;_x000D_
&lt;div class="RichText"&gt;Add a conveyor system to actually deliver medicine (Medbot may be pre-loaded with Meds)&lt;/div&gt;_x000D_
&lt;/li&gt;_x000D_
&lt;/ul&gt;_x000D_
&lt;/div&gt;_x000D_
&lt;/div&gt;_x000D_
&lt;/section&gt;</t>
        </r>
      </text>
    </comment>
    <comment ref="I66" authorId="1" shapeId="0" xr:uid="{C093411C-FD78-47E9-BCEA-B1314EA30C6C}">
      <text>
        <r>
          <rPr>
            <sz val="9"/>
            <color indexed="81"/>
            <rFont val="Tahoma"/>
            <charset val="1"/>
          </rPr>
          <t>&lt;p&gt;Use the printed or &lt;a href="https://content.vexrobotics.com/docs/V5-Clawbot-BuildInstructions.pdf"&gt;online&lt;/a&gt; build Instructions to add the claw to your robot.&amp;nbsp;&lt;/p&gt;_x000D_
&lt;p&gt;&lt;img src="https://education.vex.com/xyleme_content/speedy-delivery/web/media/Activity%20Packs/V5%20Hazardous%20Rescue/Build%20Instructions/V5Clawbot-NoVisionSensor.jpg" alt="" width="549" height="500"&gt;&lt;/p&gt;</t>
        </r>
      </text>
    </comment>
    <comment ref="I67" authorId="1" shapeId="0" xr:uid="{8AED0CFF-8058-4EA2-8EF1-25C6A47EB4FB}">
      <text>
        <r>
          <rPr>
            <sz val="9"/>
            <color indexed="81"/>
            <rFont val="Tahoma"/>
            <charset val="1"/>
          </rPr>
          <t>&lt;p&gt;&lt;img src="https://education.vex.com/xyleme_content/speedy-delivery/web/media/Activity%20Packs/V5%20Warehouse/RaiseLowerArm/V5ClawbotArmUp-ClawClosed.jpg" alt="" width="393" height="406"&gt;&lt;/p&gt;_x000D_
&lt;div class="RichText"&gt;In the Flight Traffic Controller Challenge, the Clawbot must move its arm up and down once for 90 degrees, wait 3 seconds, move the arm up and down two times for 45 degrees, wait 5 seconds, and then move the arm up and down three times for 90 degrees.&lt;/div&gt;_x000D_
&lt;div id="b63a6442-aa9c-45bd-9418-0c61e1adfedf" class="List" data-build=""&gt;_x000D_
&lt;div class="ListPreamble"&gt;Here is a list of the Clawbot's behaviors:&lt;/div&gt;_x000D_
&lt;ul class="ListItems Bullet "&gt;_x000D_
&lt;li class="ListItem"&gt;_x000D_
&lt;div class="RichText"&gt;Move arm up and then down for 90 degrees.&lt;/div&gt;_x000D_
&lt;/li&gt;_x000D_
&lt;li class="ListItem"&gt;_x000D_
&lt;div class="RichText"&gt;Wait 3 seconds.&lt;/div&gt;_x000D_
&lt;/li&gt;_x000D_
&lt;li class="ListItem"&gt;_x000D_
&lt;div class="RichText"&gt;Move arm up and then down for 45 degrees.&lt;/div&gt;_x000D_
&lt;/li&gt;_x000D_
&lt;li class="ListItem"&gt;_x000D_
&lt;div class="RichText"&gt;Move arm up and then down for 45 degrees.&lt;/div&gt;_x000D_
&lt;/li&gt;_x000D_
&lt;li class="ListItem"&gt;_x000D_
&lt;div class="RichText"&gt;Wait 5 seconds.&lt;/div&gt;_x000D_
&lt;/li&gt;_x000D_
&lt;li class="ListItem"&gt;_x000D_
&lt;div class="RichText"&gt;Move arm up and then down for 90 degrees.&lt;/div&gt;_x000D_
&lt;/li&gt;_x000D_
&lt;li class="ListItem"&gt;_x000D_
&lt;div class="RichText"&gt;Move arm up and then down for 90 degrees.&lt;/div&gt;_x000D_
&lt;/li&gt;_x000D_
&lt;li class="ListItem"&gt;_x000D_
&lt;div class="RichText"&gt;Move arm up and then down for 90 degrees.&lt;/div&gt;_x000D_
&lt;/li&gt;_x000D_
&lt;/ul&gt;_x000D_
&lt;/div&gt;</t>
        </r>
      </text>
    </comment>
    <comment ref="I68" authorId="1" shapeId="0" xr:uid="{736C9C08-4FDF-4C17-BD4F-CD5E3620C56F}">
      <text>
        <r>
          <rPr>
            <sz val="9"/>
            <color indexed="81"/>
            <rFont val="Tahoma"/>
            <charset val="1"/>
          </rPr>
          <t>&lt;p&gt;&lt;img src="https://education.vex.com/xyleme_content/speedy-delivery/web/media/Activity%20Packs/V5%20Speedy%20Delivery/V5_BookMaze-NoGraphics.jpg" alt="" width="956" height="957"&gt;&lt;/p&gt;_x000D_
&lt;h1 id="2c84267f-458e-40b9-bb6d-13ee3813100b-title"&gt;Package Dash Challenge&lt;/h1&gt;_x000D_
&lt;div class="ParaBlock"&gt;_x000D_
&lt;div class="RichText"&gt;In this challenge, you will program your robot to pick up packages and bring them to a loading dock as fast as possible!&lt;/div&gt;_x000D_
&lt;div id="b9810fc1-1de3-4c02-a980-2467f9934f69" class="List" data-build=""&gt;_x000D_
&lt;div class="ListPreamble"&gt;Challenge rules:&lt;/div&gt;_x000D_
&lt;ul class="ListItems Bullet "&gt;_x000D_
&lt;li class="ListItem"&gt;_x000D_
&lt;div class="RichText"&gt;The robot must begin the challenge in the Start Zone.&lt;/div&gt;_x000D_
&lt;/li&gt;_x000D_
&lt;li class="ListItem"&gt;_x000D_
&lt;div class="RichText"&gt;The packages (aluminum cans) can only come in contact with the books, the Clawbot's claw, and the Loading Dock.&lt;/div&gt;_x000D_
&lt;div id="b9810fc1-1de3-4c02-a980-2467f9934f69---cid-d2e4996---cid-d2e5000---cid-d2e5003-" class="List" data-build=""&gt;_x000D_
&lt;ul class="ListItems Disk "&gt;_x000D_
&lt;li class="ListItem"&gt;_x000D_
&lt;div class="RichText"&gt;If a package is dropped on the warehouse ground, you must reset the field and start over again.&lt;/div&gt;_x000D_
&lt;/li&gt;_x000D_
&lt;/ul&gt;_x000D_
&lt;/div&gt;_x000D_
&lt;/li&gt;_x000D_
&lt;li class="ListItem"&gt;_x000D_
&lt;div class="RichText"&gt;The time for each run starts as soon as the robot moves.&lt;/div&gt;_x000D_
&lt;/li&gt;_x000D_
&lt;li class="ListItem"&gt;_x000D_
&lt;div class="RichText"&gt;The time stops as soon as the last package is dropped in the Loading Dock.&lt;/div&gt;_x000D_
&lt;/li&gt;_x000D_
&lt;li class="ListItem"&gt;_x000D_
&lt;div class="RichText"&gt;When resetting the field, everything should be returned to the exact location as it started.&lt;/div&gt;_x000D_
&lt;/li&gt;_x000D_
&lt;li class="ListItem"&gt;_x000D_
&lt;div class="RichText"&gt;Have fun!&lt;/div&gt;_x000D_
&lt;/li&gt;_x000D_
&lt;/ul&gt;_x000D_
&lt;/div&gt;_x000D_
&lt;/div&gt;</t>
        </r>
      </text>
    </comment>
    <comment ref="I69" authorId="1" shapeId="0" xr:uid="{108E9568-65FB-41A0-A00D-DCC3E87AE916}">
      <text>
        <r>
          <rPr>
            <sz val="9"/>
            <color indexed="81"/>
            <rFont val="Tahoma"/>
            <charset val="1"/>
          </rPr>
          <t>&lt;p&gt;Spin in a circle and pick up a blue can&lt;/p&gt;</t>
        </r>
      </text>
    </comment>
    <comment ref="I73" authorId="1" shapeId="0" xr:uid="{8DCA29E8-56AF-4772-AC6A-C2359CE44FFF}">
      <text>
        <r>
          <rPr>
            <sz val="9"/>
            <color indexed="81"/>
            <rFont val="Tahoma"/>
            <charset val="1"/>
          </rPr>
          <t>&lt;p&gt;If don't see the quiz questions below, &lt;a class="inline_disabled" href="https://docs.google.com/document/d/1klnYnk5e8huACYBEtZhB6lFEp-cCOHFryqzYmQ90k8c/preview" target="_blank"&gt;click here&lt;/a&gt;. &lt;iframe src="https://docs.google.com/document/d/1klnYnk5e8huACYBEtZhB6lFEp-cCOHFryqzYmQ90k8c/preview" width="100%" height="450px"&gt;&lt;/iframe&gt;&lt;/p&gt;</t>
        </r>
      </text>
    </comment>
    <comment ref="I80" authorId="1" shapeId="0" xr:uid="{47D34E31-BB0A-4275-9BDC-F4581CFE18E2}">
      <text>
        <r>
          <rPr>
            <sz val="9"/>
            <color indexed="81"/>
            <rFont val="Tahoma"/>
            <charset val="1"/>
          </rPr>
          <t>&lt;p&gt;Turn and grab a can and place it on the warehouse dock or another place identified by a color&amp;nbsp;&lt;/p&gt;</t>
        </r>
      </text>
    </comment>
    <comment ref="I85" authorId="1" shapeId="0" xr:uid="{7256AB5A-D51A-4C2B-8966-6008ECD212BF}">
      <text>
        <r>
          <rPr>
            <sz val="9"/>
            <color indexed="81"/>
            <rFont val="Tahoma"/>
            <charset val="1"/>
          </rPr>
          <t>&lt;p&gt;Upload Your Soccer Video or share it via YouTube&lt;/p&gt;</t>
        </r>
      </text>
    </comment>
    <comment ref="M85" authorId="1" shapeId="0" xr:uid="{EC2468F5-EDA3-479A-A569-F0410E4880C1}">
      <text>
        <r>
          <rPr>
            <sz val="9"/>
            <color indexed="81"/>
            <rFont val="Tahoma"/>
            <charset val="1"/>
          </rPr>
          <t>This assignment has multiple submission_types:_x000D_
online_url_x000D_
media_recording_x000D_
online_upload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Jaap</author>
  </authors>
  <commentList>
    <comment ref="A16" authorId="0" shapeId="0" xr:uid="{00000000-0006-0000-0200-000001000000}">
      <text>
        <r>
          <rPr>
            <sz val="9"/>
            <color indexed="81"/>
            <rFont val="Tahoma"/>
            <family val="2"/>
          </rPr>
          <t>Edit this keyword to your preference</t>
        </r>
      </text>
    </comment>
    <comment ref="A17" authorId="0" shapeId="0" xr:uid="{00000000-0006-0000-0200-000002000000}">
      <text>
        <r>
          <rPr>
            <sz val="9"/>
            <color indexed="81"/>
            <rFont val="Tahoma"/>
            <family val="2"/>
          </rPr>
          <t>Edit this keyword to your preference</t>
        </r>
      </text>
    </comment>
    <comment ref="A18" authorId="0" shapeId="0" xr:uid="{00000000-0006-0000-0200-000003000000}">
      <text>
        <r>
          <rPr>
            <sz val="9"/>
            <color indexed="81"/>
            <rFont val="Tahoma"/>
            <family val="2"/>
          </rPr>
          <t>Edit this keyword to your preference</t>
        </r>
      </text>
    </comment>
    <comment ref="A19" authorId="0" shapeId="0" xr:uid="{00000000-0006-0000-0200-000004000000}">
      <text>
        <r>
          <rPr>
            <sz val="9"/>
            <color indexed="81"/>
            <rFont val="Tahoma"/>
            <family val="2"/>
          </rPr>
          <t>Edit this keyword to your preference</t>
        </r>
      </text>
    </comment>
    <comment ref="A20" authorId="0" shapeId="0" xr:uid="{00000000-0006-0000-0200-000005000000}">
      <text>
        <r>
          <rPr>
            <sz val="9"/>
            <color indexed="81"/>
            <rFont val="Tahoma"/>
            <family val="2"/>
          </rPr>
          <t>Edit this keyword to your preference</t>
        </r>
      </text>
    </comment>
    <comment ref="A21" authorId="0" shapeId="0" xr:uid="{00000000-0006-0000-0200-000006000000}">
      <text>
        <r>
          <rPr>
            <sz val="9"/>
            <color indexed="81"/>
            <rFont val="Tahoma"/>
            <family val="2"/>
          </rPr>
          <t>Edit this keyword to your preference</t>
        </r>
      </text>
    </comment>
    <comment ref="A22" authorId="0" shapeId="0" xr:uid="{00000000-0006-0000-0200-000007000000}">
      <text>
        <r>
          <rPr>
            <sz val="9"/>
            <color indexed="81"/>
            <rFont val="Tahoma"/>
            <family val="2"/>
          </rPr>
          <t>Edit this keyword to your preference</t>
        </r>
      </text>
    </comment>
    <comment ref="A23" authorId="0" shapeId="0" xr:uid="{00000000-0006-0000-0200-000008000000}">
      <text>
        <r>
          <rPr>
            <sz val="9"/>
            <color indexed="81"/>
            <rFont val="Tahoma"/>
            <family val="2"/>
          </rPr>
          <t>Edit this keyword to your preference</t>
        </r>
      </text>
    </comment>
    <comment ref="A24" authorId="0" shapeId="0" xr:uid="{00000000-0006-0000-0200-000009000000}">
      <text>
        <r>
          <rPr>
            <sz val="9"/>
            <color indexed="81"/>
            <rFont val="Tahoma"/>
            <family val="2"/>
          </rPr>
          <t>Edit this keyword to your preference</t>
        </r>
      </text>
    </comment>
    <comment ref="A25" authorId="0" shapeId="0" xr:uid="{00000000-0006-0000-0200-00000A000000}">
      <text>
        <r>
          <rPr>
            <sz val="9"/>
            <color indexed="81"/>
            <rFont val="Tahoma"/>
            <family val="2"/>
          </rPr>
          <t>Edit this keyword to your preference</t>
        </r>
      </text>
    </comment>
    <comment ref="A26" authorId="0" shapeId="0" xr:uid="{00000000-0006-0000-0200-00000B000000}">
      <text>
        <r>
          <rPr>
            <sz val="9"/>
            <color indexed="81"/>
            <rFont val="Tahoma"/>
            <family val="2"/>
          </rPr>
          <t>Edit this keyword to your preference</t>
        </r>
      </text>
    </comment>
    <comment ref="A27" authorId="0" shapeId="0" xr:uid="{00000000-0006-0000-0200-00000C000000}">
      <text>
        <r>
          <rPr>
            <sz val="9"/>
            <color indexed="81"/>
            <rFont val="Tahoma"/>
            <family val="2"/>
          </rPr>
          <t>Edit this keyword to your preference</t>
        </r>
      </text>
    </comment>
    <comment ref="A80" authorId="0" shapeId="0" xr:uid="{00000000-0006-0000-0200-00000D000000}">
      <text>
        <r>
          <rPr>
            <sz val="9"/>
            <color indexed="81"/>
            <rFont val="Tahoma"/>
            <family val="2"/>
          </rPr>
          <t>Edit this keyword to your preference</t>
        </r>
      </text>
    </comment>
    <comment ref="A81" authorId="0" shapeId="0" xr:uid="{00000000-0006-0000-0200-00000E000000}">
      <text>
        <r>
          <rPr>
            <sz val="9"/>
            <color indexed="81"/>
            <rFont val="Tahoma"/>
            <family val="2"/>
          </rPr>
          <t>Edit this keyword to your preference</t>
        </r>
      </text>
    </comment>
    <comment ref="A82" authorId="0" shapeId="0" xr:uid="{00000000-0006-0000-0200-00000F000000}">
      <text>
        <r>
          <rPr>
            <sz val="9"/>
            <color indexed="81"/>
            <rFont val="Tahoma"/>
            <family val="2"/>
          </rPr>
          <t>Edit this keyword to your preference</t>
        </r>
      </text>
    </comment>
  </commentList>
</comments>
</file>

<file path=xl/sharedStrings.xml><?xml version="1.0" encoding="utf-8"?>
<sst xmlns="http://schemas.openxmlformats.org/spreadsheetml/2006/main" count="1314" uniqueCount="533">
  <si>
    <t>Canvas URL</t>
  </si>
  <si>
    <t>Settings</t>
  </si>
  <si>
    <t>This sheet should stay hidden because of the secure token</t>
  </si>
  <si>
    <t>Token</t>
  </si>
  <si>
    <t>Variable</t>
  </si>
  <si>
    <t>Role</t>
  </si>
  <si>
    <t>sis_course_code</t>
  </si>
  <si>
    <t>muted</t>
  </si>
  <si>
    <t>Fill this column below manually</t>
  </si>
  <si>
    <t>Count</t>
  </si>
  <si>
    <t>course_code</t>
  </si>
  <si>
    <t>workflow_state</t>
  </si>
  <si>
    <t>ass. id</t>
  </si>
  <si>
    <t>description</t>
  </si>
  <si>
    <t>created_at</t>
  </si>
  <si>
    <t>updated_at</t>
  </si>
  <si>
    <t>due_at</t>
  </si>
  <si>
    <t>lock_at</t>
  </si>
  <si>
    <t>unlock_at</t>
  </si>
  <si>
    <t>has_overrides</t>
  </si>
  <si>
    <t>course_id</t>
  </si>
  <si>
    <t>html_url</t>
  </si>
  <si>
    <t>submissions_download_url</t>
  </si>
  <si>
    <t>assignment_group_id</t>
  </si>
  <si>
    <t>due_date_required</t>
  </si>
  <si>
    <t>max_name_length</t>
  </si>
  <si>
    <t>turnitin_enabled</t>
  </si>
  <si>
    <t>vericite_enabled</t>
  </si>
  <si>
    <t>grade_group_students_individually</t>
  </si>
  <si>
    <t>peer_reviews</t>
  </si>
  <si>
    <t>automatic_peer_reviews</t>
  </si>
  <si>
    <t>peer_review_count</t>
  </si>
  <si>
    <t>peer_reviews_assign_at</t>
  </si>
  <si>
    <t>intra_group_peer_reviews</t>
  </si>
  <si>
    <t>group_category_id</t>
  </si>
  <si>
    <t>needs_grading_count</t>
  </si>
  <si>
    <t>position</t>
  </si>
  <si>
    <t>post_to_sis</t>
  </si>
  <si>
    <t>integration_id</t>
  </si>
  <si>
    <t>integration_data</t>
  </si>
  <si>
    <t>points_possible</t>
  </si>
  <si>
    <t>submission_types</t>
  </si>
  <si>
    <t>has_submitted_submissions</t>
  </si>
  <si>
    <t>grading_type</t>
  </si>
  <si>
    <t>grading_standard_id</t>
  </si>
  <si>
    <t>published</t>
  </si>
  <si>
    <t>unpublishable</t>
  </si>
  <si>
    <t>only_visible_to_overrides</t>
  </si>
  <si>
    <t>locked_for_user</t>
  </si>
  <si>
    <t>lock_explanation</t>
  </si>
  <si>
    <t>quiz_id</t>
  </si>
  <si>
    <t>anonymous_submissions</t>
  </si>
  <si>
    <t>freeze_on_copy</t>
  </si>
  <si>
    <t>frozen</t>
  </si>
  <si>
    <t>frozen_attributes</t>
  </si>
  <si>
    <t>use_rubric_for_grading</t>
  </si>
  <si>
    <t>rubric_settings</t>
  </si>
  <si>
    <t>rubric</t>
  </si>
  <si>
    <t>omit_from_final_grade</t>
  </si>
  <si>
    <t>moderated_grading</t>
  </si>
  <si>
    <t>grader_count</t>
  </si>
  <si>
    <t>final_grader_id</t>
  </si>
  <si>
    <t>grader_comments_visible_to_graders</t>
  </si>
  <si>
    <t>graders_anonymous_to_graders</t>
  </si>
  <si>
    <t>grader_names_visible_to_final_grader</t>
  </si>
  <si>
    <t>anonymous_grading</t>
  </si>
  <si>
    <t>allowed_attempts</t>
  </si>
  <si>
    <t>course_name</t>
  </si>
  <si>
    <t>assignment_name</t>
  </si>
  <si>
    <t>points</t>
  </si>
  <si>
    <t>gpa_scale</t>
  </si>
  <si>
    <t>pass_fail</t>
  </si>
  <si>
    <t>(times are based on Coordinated Universal Time (UTC). It may differ from your local timezone)</t>
  </si>
  <si>
    <t>external_tool</t>
  </si>
  <si>
    <t>online_upload</t>
  </si>
  <si>
    <t>none</t>
  </si>
  <si>
    <t>online_text_entry</t>
  </si>
  <si>
    <t>online_quiz</t>
  </si>
  <si>
    <t>online_url</t>
  </si>
  <si>
    <t>percent</t>
  </si>
  <si>
    <t>discussion_topic</t>
  </si>
  <si>
    <t>letter_grade</t>
  </si>
  <si>
    <t>Topic</t>
  </si>
  <si>
    <t>unpublished</t>
  </si>
  <si>
    <t>Group assignments</t>
  </si>
  <si>
    <t>&gt; 0</t>
  </si>
  <si>
    <t>&gt; 0 &amp; &lt; 10</t>
  </si>
  <si>
    <t>&gt; 10 &amp; &lt; 100</t>
  </si>
  <si>
    <t>&gt; 100</t>
  </si>
  <si>
    <t>on_paper</t>
  </si>
  <si>
    <t>media_recording</t>
  </si>
  <si>
    <t>Absolute</t>
  </si>
  <si>
    <t>Relative</t>
  </si>
  <si>
    <t>Comments</t>
  </si>
  <si>
    <t>Total count of entries</t>
  </si>
  <si>
    <t>Courses with assignments</t>
  </si>
  <si>
    <t>Courses without assignments</t>
  </si>
  <si>
    <t>with text in the assignment description</t>
  </si>
  <si>
    <t>without  text in the assignment description</t>
  </si>
  <si>
    <t>Canvas API Assignments</t>
  </si>
  <si>
    <t>https://canvas.instructure.com/doc/api/assignments.html#Assignment</t>
  </si>
  <si>
    <t>Parameter</t>
  </si>
  <si>
    <t>Sample</t>
  </si>
  <si>
    <t>Description</t>
  </si>
  <si>
    <t>id</t>
  </si>
  <si>
    <t>the ID of the assignment</t>
  </si>
  <si>
    <t>name</t>
  </si>
  <si>
    <t>some assignment</t>
  </si>
  <si>
    <t>the name of the assignment</t>
  </si>
  <si>
    <t>&lt;p&gt;Do the following:&lt;/p&gt;...</t>
  </si>
  <si>
    <t>the assignment description, in an HTML fragment</t>
  </si>
  <si>
    <t>2012-07-01T23:59:00-06:00</t>
  </si>
  <si>
    <t>The time at which this assignment was originally created</t>
  </si>
  <si>
    <t>The time at which this assignment was last modified in any way</t>
  </si>
  <si>
    <t>the due date for the assignment. returns null if not present. NOTE: If this assignment has assignment overrides, this field will be the due date as it applies to the user requesting information from the API.</t>
  </si>
  <si>
    <t>the lock date (assignment is locked after this date). returns null if not present. NOTE: If this assignment has assignment overrides, this field will be the lock date as it applies to the user requesting information from the API.</t>
  </si>
  <si>
    <t>the unlock date (assignment is unlocked after this date) returns null if not present NOTE: If this assignment has assignment overrides, this field will be the unlock date as it applies to the user requesting information from the API.</t>
  </si>
  <si>
    <t>whether this assignment has overrides</t>
  </si>
  <si>
    <t>all_dates</t>
  </si>
  <si>
    <t>null</t>
  </si>
  <si>
    <t>(Optional) all dates associated with the assignment, if applicable</t>
  </si>
  <si>
    <t>the ID of the course the assignment belongs to</t>
  </si>
  <si>
    <t>https://...</t>
  </si>
  <si>
    <t>the URL to the assignment's web page</t>
  </si>
  <si>
    <t>https://example.com/courses/:course_id/assignments/:id/submissions?zip=1</t>
  </si>
  <si>
    <t>the URL to download all submissions as a zip</t>
  </si>
  <si>
    <t>the ID of the assignment's group</t>
  </si>
  <si>
    <t>Boolean flag indicating whether the assignment requires a due date based on the account level setting</t>
  </si>
  <si>
    <t>allowed_extensions</t>
  </si>
  <si>
    <t>["docx", "ppt"]</t>
  </si>
  <si>
    <t>Allowed file extensions, which take effect if submission_types includes 'online_upload'.</t>
  </si>
  <si>
    <t>An integer indicating the maximum length an assignment's name may be</t>
  </si>
  <si>
    <t>Boolean flag indicating whether or not Turnitin has been enabled for the assignment. NOTE: This flag will not appear unless your account has the Turnitin plugin available</t>
  </si>
  <si>
    <t>Boolean flag indicating whether or not VeriCite has been enabled for the assignment. NOTE: This flag will not appear unless your account has the VeriCite plugin available</t>
  </si>
  <si>
    <t>turnitin_settings</t>
  </si>
  <si>
    <t>Settings to pass along to turnitin to control what kinds of matches should be considered. originality_report_visibility can be 'immediate', 'after_grading', 'after_due_date', or 'never' exclude_small_matches_type can be null, 'percent', 'words' exclude_small_matches_value: - if type is null, this will be null also - if type is 'percent', this will be a number between 0 and 100 representing match size to exclude as a percentage of the document size. - if type is 'words', this will be number &gt; 0 representing how many words a match must contain for it to be considered NOTE: This flag will not appear unless your account has the Turnitin plugin available</t>
  </si>
  <si>
    <t>If this is a group assignment, boolean flag indicating whether or not students will be graded individually.</t>
  </si>
  <si>
    <t>external_tool_tag_attributes</t>
  </si>
  <si>
    <t>(Optional) assignment's settings for external tools if submission_types include 'external_tool'. Only url and new_tab are included (new_tab defaults to false).  Use the 'External Tools' API if you need more information about an external tool.</t>
  </si>
  <si>
    <t>Boolean indicating if peer reviews are required for this assignment</t>
  </si>
  <si>
    <t>Boolean indicating peer reviews are assigned automatically. If false, the teacher is expected to manually assign peer reviews.</t>
  </si>
  <si>
    <t>Integer representing the amount of reviews each user is assigned. NOTE: This key is NOT present unless you have automatic_peer_reviews set to true.</t>
  </si>
  <si>
    <t>String representing a date the reviews are due by. Must be a date that occurs after the default due date. If blank, or date is not after the assignment's due date, the assignment's due date will be used. NOTE: This key is NOT present unless you have automatic_peer_reviews set to true.</t>
  </si>
  <si>
    <t>Boolean representing whether or not members from within the same group on a group assignment can be assigned to peer review their own group's work</t>
  </si>
  <si>
    <t>The ID of the assignment’s group set, if this is a group assignment. For group discussions, set group_category_id on the discussion topic, not the linked assignment.</t>
  </si>
  <si>
    <t>if the requesting user has grading rights, the number of submissions that need grading.</t>
  </si>
  <si>
    <t>needs_grading_count_by_section</t>
  </si>
  <si>
    <t>[{"section_id":"123456","needs_grading_count":5}, {"section_id":"654321","needs_grading_count":0}]</t>
  </si>
  <si>
    <t>if the requesting user has grading rights and the 'needs_grading_count_by_section' flag is specified, the number of submissions that need grading split out by section. NOTE: This key is NOT present unless you pass the 'needs_grading_count_by_section' argument as true.  ANOTHER NOTE: it's possible to be enrolled in multiple sections, and if a student is setup that way they will show an assignment that needs grading in multiple sections (effectively the count will be duplicated between sections)</t>
  </si>
  <si>
    <t>the sorting order of the assignment in the group</t>
  </si>
  <si>
    <t>(optional, present if Sync Grades to SIS feature is enabled)</t>
  </si>
  <si>
    <t>(optional, Third Party unique identifier for Assignment)</t>
  </si>
  <si>
    <t>(optional, Third Party integration data for assignment)</t>
  </si>
  <si>
    <t>whether the assignment is muted</t>
  </si>
  <si>
    <t>the maximum points possible for the assignment</t>
  </si>
  <si>
    <t>["online_text_entry"]</t>
  </si>
  <si>
    <t>the types of submissions allowed for this assignment list containing one or more of the following: 'discussion_topic', 'online_quiz', 'on_paper', 'none', 'external_tool', 'online_text_entry', 'online_url', 'online_upload' 'media_recording'</t>
  </si>
  <si>
    <t>If true, the assignment has been submitted to by at least one student</t>
  </si>
  <si>
    <t>The type of grading the assignment receives; one of 'pass_fail', 'percent', 'letter_grade', 'gpa_scale', 'points'</t>
  </si>
  <si>
    <t>The id of the grading standard being applied to this assignment. Valid if grading_type is 'letter_grade' or 'gpa_scale'.</t>
  </si>
  <si>
    <t>Whether the assignment is published</t>
  </si>
  <si>
    <t>Whether the assignment's 'published' state can be changed to false. Will be false if there are student submissions for the assignment.</t>
  </si>
  <si>
    <t>Whether the assignment is only visible to overrides.</t>
  </si>
  <si>
    <t>Whether or not this is locked for the user.</t>
  </si>
  <si>
    <t>lock_info</t>
  </si>
  <si>
    <t>(Optional) Information for the user about the lock. Present when locked_for_user is true.</t>
  </si>
  <si>
    <t>This assignment is locked until September 1 at 12:00am</t>
  </si>
  <si>
    <t>(Optional) An explanation of why this is locked for the user. Present when locked_for_user is true.</t>
  </si>
  <si>
    <t>(Optional) id of the associated quiz (applies only when submission_types is ['online_quiz'])</t>
  </si>
  <si>
    <t>(Optional) whether anonymous submissions are accepted (applies only to quiz assignments)</t>
  </si>
  <si>
    <t>(Optional) the DiscussionTopic associated with the assignment, if applicable</t>
  </si>
  <si>
    <t>(Optional) Boolean indicating if assignment will be frozen when it is copied. NOTE: This field will only be present if the AssignmentFreezer plugin is available for your account.</t>
  </si>
  <si>
    <t>(Optional) Boolean indicating if assignment is frozen for the calling user. NOTE: This field will only be present if the AssignmentFreezer plugin is available for your account.</t>
  </si>
  <si>
    <t>["title"]</t>
  </si>
  <si>
    <t>(Optional) Array of frozen attributes for the assignment. Only account administrators currently have permission to change an attribute in this list. Will be empty if no attributes are frozen for this assignment. Possible frozen attributes are: title, description, lock_at, points_possible, grading_type, submission_types, assignment_group_id, allowed_extensions, group_category_id, notify_of_update, peer_reviews NOTE: This field will only be present if the AssignmentFreezer plugin is available for your account.</t>
  </si>
  <si>
    <t>submission</t>
  </si>
  <si>
    <t>(Optional) If 'submission' is included in the 'include' parameter, includes a Submission object that represents the current user's (user who is requesting information from the api) current submission for the assignment. See the Submissions API for an example response. If the user does not have a submission, this key will be absent.</t>
  </si>
  <si>
    <t>(Optional) If true, the rubric is directly tied to grading the assignment. Otherwise, it is only advisory. Included if there is an associated rubric.</t>
  </si>
  <si>
    <t>{points_possible"=&gt;12}"</t>
  </si>
  <si>
    <t>(Optional) An object describing the basic attributes of the rubric, including the point total. Included if there is an associated rubric.</t>
  </si>
  <si>
    <t>(Optional) A list of scoring criteria and ratings for each rubric criterion. Included if there is an associated rubric.</t>
  </si>
  <si>
    <t>assignment_visibility</t>
  </si>
  <si>
    <t>[137, 381, 572]</t>
  </si>
  <si>
    <t>(Optional) If 'assignment_visibility' is included in the 'include' parameter, includes an array of student IDs who can see this assignment.</t>
  </si>
  <si>
    <t>overrides</t>
  </si>
  <si>
    <t>(Optional) If 'overrides' is included in the 'include' parameter, includes an array of assignment override objects.</t>
  </si>
  <si>
    <t>(Optional) If true, the assignment will be omitted from the student's final grade</t>
  </si>
  <si>
    <t>Boolean indicating if the assignment is moderated.</t>
  </si>
  <si>
    <t>The maximum number of provisional graders who may issue grades for this assignment. Only relevant for moderated assignments. Must be a positive value, and must be set to 1 if the course has fewer than two active instructors. Otherwise, the maximum value is the number of active instructors in the course minus one, or 10 if the course has more than 11 active instructors.</t>
  </si>
  <si>
    <t>The user ID of the grader responsible for choosing final grades for this assignment. Only relevant for moderated assignments.</t>
  </si>
  <si>
    <t>Boolean indicating if provisional graders' comments are visible to other provisional graders. Only relevant for moderated assignments.</t>
  </si>
  <si>
    <t>Boolean indicating if provisional graders' identities are hidden from other provisional graders. Only relevant for moderated assignments with grader_comments_visible_to_graders set to true.</t>
  </si>
  <si>
    <t>Boolean indicating if provisional grader identities are visible to the final grader. Only relevant for moderated assignments.</t>
  </si>
  <si>
    <t>Boolean indicating if the assignment is graded anonymously. If true, graders cannot see student identities.</t>
  </si>
  <si>
    <t>The number of submission attempts a student can make for this assignment. -1 is considered unlimited.</t>
  </si>
  <si>
    <t>Total count of assignments</t>
  </si>
  <si>
    <t>Courses workflow state</t>
  </si>
  <si>
    <t>Assignment descriptions</t>
  </si>
  <si>
    <t>Total count of (unique) courses</t>
  </si>
  <si>
    <t>Assignment workflow state</t>
  </si>
  <si>
    <t>1 row per assignment and one row for each course without assignments</t>
  </si>
  <si>
    <t>Multiple due / lock / unclock moments</t>
  </si>
  <si>
    <t>Dates and times</t>
  </si>
  <si>
    <t>Points possible</t>
  </si>
  <si>
    <t>Unique grading standards used</t>
  </si>
  <si>
    <t>Count of highest point assigned</t>
  </si>
  <si>
    <t>Highest point assigned</t>
  </si>
  <si>
    <t>Assignment only assigned to a selection of students or to sections</t>
  </si>
  <si>
    <t>Quizzes count</t>
  </si>
  <si>
    <t>Anonymous submissions</t>
  </si>
  <si>
    <t>Percentage downloaded (in this report)</t>
  </si>
  <si>
    <t>evaluation</t>
  </si>
  <si>
    <t>resit</t>
  </si>
  <si>
    <t>retake</t>
  </si>
  <si>
    <t>register</t>
  </si>
  <si>
    <t>Count of assignment name containing the text:</t>
  </si>
  <si>
    <t>test</t>
  </si>
  <si>
    <t>Allowed attempts limited</t>
  </si>
  <si>
    <t>…in published courses</t>
  </si>
  <si>
    <t>…in unpublished courses</t>
  </si>
  <si>
    <t>assignment</t>
  </si>
  <si>
    <t>exam</t>
  </si>
  <si>
    <t>paper</t>
  </si>
  <si>
    <t>deleted courses</t>
  </si>
  <si>
    <t>unpublished courses</t>
  </si>
  <si>
    <t>published courses</t>
  </si>
  <si>
    <t>completed courses</t>
  </si>
  <si>
    <t>sample text</t>
  </si>
  <si>
    <t>group</t>
  </si>
  <si>
    <t>Highlight dates before:</t>
  </si>
  <si>
    <t>Sign up</t>
  </si>
  <si>
    <t>8909~C4kih275AAgoWJYevm8uN8KktQirXzt0DshPhCGgunW25Gnb7Z9uqoABhbBm0ueW</t>
  </si>
  <si>
    <t>https://lms.pps.net</t>
  </si>
  <si>
    <t>Report of assignments in courses in https://lms.pps.net</t>
  </si>
  <si>
    <t>available</t>
  </si>
  <si>
    <t>ass_id</t>
  </si>
  <si>
    <t>2022~912-1695A2-F4</t>
  </si>
  <si>
    <t>2022~912-1695B2-F3</t>
  </si>
  <si>
    <t>2022~912-1695C2-F3</t>
  </si>
  <si>
    <t>2022~912-1626RA2-F1</t>
  </si>
  <si>
    <t>2022~912-1627RT2-F1</t>
  </si>
  <si>
    <t>1695A2-P4-Fenger</t>
  </si>
  <si>
    <t>Engineering 2 - P4, P7 &amp; P8</t>
  </si>
  <si>
    <t>707573</t>
  </si>
  <si>
    <t xml:space="preserve">Mid Project Report </t>
  </si>
  <si>
    <t>https://lms.pps.net/courses/64513/assignments/707573</t>
  </si>
  <si>
    <t>https://lms.pps.net/courses/64513/assignments/707573/submissions?zip=1</t>
  </si>
  <si>
    <t>723381</t>
  </si>
  <si>
    <t>Final Project Report</t>
  </si>
  <si>
    <t>https://lms.pps.net/courses/64513/assignments/723381</t>
  </si>
  <si>
    <t>https://lms.pps.net/courses/64513/assignments/723381/submissions?zip=1</t>
  </si>
  <si>
    <t>1695B2-P3-Fenger</t>
  </si>
  <si>
    <t>Engineering 4 -  P3 &amp; P6</t>
  </si>
  <si>
    <t>723324</t>
  </si>
  <si>
    <t>Bridge #1 Design and Analysis</t>
  </si>
  <si>
    <t>https://lms.pps.net/courses/80430/assignments/723324</t>
  </si>
  <si>
    <t>https://lms.pps.net/courses/80430/assignments/723324/submissions?zip=1</t>
  </si>
  <si>
    <t>1695C2-P3-Fenger</t>
  </si>
  <si>
    <t>Engineering 6 - P3 &amp; P6</t>
  </si>
  <si>
    <t>723365</t>
  </si>
  <si>
    <t>https://lms.pps.net/courses/80434/assignments/723365</t>
  </si>
  <si>
    <t>https://lms.pps.net/courses/80434/assignments/723365/submissions?zip=1</t>
  </si>
  <si>
    <t>1626RA2-P1-Fenger</t>
  </si>
  <si>
    <t>Robotics 2 - P1 &amp; P5</t>
  </si>
  <si>
    <t>1627RT2-P1-Fenger</t>
  </si>
  <si>
    <t>Robotics Advanced 2 - P1 &amp; P5</t>
  </si>
  <si>
    <t>727072</t>
  </si>
  <si>
    <t>Sumo Match Video Submission</t>
  </si>
  <si>
    <t>https://lms.pps.net/courses/64302/assignments/727072</t>
  </si>
  <si>
    <t>https://lms.pps.net/courses/64302/assignments/727072/submissions?zip=1</t>
  </si>
  <si>
    <t/>
  </si>
  <si>
    <t>727078</t>
  </si>
  <si>
    <t>https://lms.pps.net/courses/80436/assignments/727078</t>
  </si>
  <si>
    <t>https://lms.pps.net/courses/80436/assignments/727078/submissions?zip=1</t>
  </si>
  <si>
    <t>759372</t>
  </si>
  <si>
    <t>4.1 Ring and Spinner Assignment</t>
  </si>
  <si>
    <t>https://lms.pps.net/courses/64513/assignments/759372</t>
  </si>
  <si>
    <t>https://lms.pps.net/courses/64513/assignments/759372/submissions?zip=1</t>
  </si>
  <si>
    <t>730024</t>
  </si>
  <si>
    <t>1.1 Jumping into Onshape Assignment</t>
  </si>
  <si>
    <t>https://lms.pps.net/courses/64513/assignments/730024</t>
  </si>
  <si>
    <t>https://lms.pps.net/courses/64513/assignments/730024/submissions?zip=1</t>
  </si>
  <si>
    <t>730070</t>
  </si>
  <si>
    <t>1.2 Viewing Objects in Onshape Assignment</t>
  </si>
  <si>
    <t>https://lms.pps.net/courses/64513/assignments/730070</t>
  </si>
  <si>
    <t>https://lms.pps.net/courses/64513/assignments/730070/submissions?zip=1</t>
  </si>
  <si>
    <t>732124</t>
  </si>
  <si>
    <t>1.3 Looking Deeper Assignment</t>
  </si>
  <si>
    <t>https://lms.pps.net/courses/64513/assignments/732124</t>
  </si>
  <si>
    <t>https://lms.pps.net/courses/64513/assignments/732124/submissions?zip=1</t>
  </si>
  <si>
    <t>732130</t>
  </si>
  <si>
    <t>Unit 1 Summative Assessment</t>
  </si>
  <si>
    <t>https://lms.pps.net/courses/64513/assignments/732130</t>
  </si>
  <si>
    <t>https://lms.pps.net/courses/64513/quizzes/95293/submissions?zip=1</t>
  </si>
  <si>
    <t>732750</t>
  </si>
  <si>
    <t>2.1 Designing the Deck Assignment</t>
  </si>
  <si>
    <t>https://lms.pps.net/courses/64513/assignments/732750</t>
  </si>
  <si>
    <t>https://lms.pps.net/courses/64513/assignments/732750/submissions?zip=1</t>
  </si>
  <si>
    <t>733064</t>
  </si>
  <si>
    <t>2.2 Designing the Trucks - Assignment</t>
  </si>
  <si>
    <t>https://lms.pps.net/courses/64513/assignments/733064</t>
  </si>
  <si>
    <t>https://lms.pps.net/courses/64513/assignments/733064/submissions?zip=1</t>
  </si>
  <si>
    <t>734358</t>
  </si>
  <si>
    <t>2.3 Wheels and Bearings Assignment</t>
  </si>
  <si>
    <t>https://lms.pps.net/courses/64513/assignments/734358</t>
  </si>
  <si>
    <t>https://lms.pps.net/courses/64513/assignments/734358/submissions?zip=1</t>
  </si>
  <si>
    <t>738702</t>
  </si>
  <si>
    <t>2.4 Putting It All Together - Assignment</t>
  </si>
  <si>
    <t>https://lms.pps.net/courses/64513/assignments/738702</t>
  </si>
  <si>
    <t>https://lms.pps.net/courses/64513/assignments/738702/submissions?zip=1</t>
  </si>
  <si>
    <t>741223</t>
  </si>
  <si>
    <t>2.5 Now Shred! Assignment</t>
  </si>
  <si>
    <t>https://lms.pps.net/courses/64513/assignments/741223</t>
  </si>
  <si>
    <t>https://lms.pps.net/courses/64513/assignments/741223/submissions?zip=1</t>
  </si>
  <si>
    <t>744180</t>
  </si>
  <si>
    <t>3.1 How the Pros Do It - Assignment</t>
  </si>
  <si>
    <t>https://lms.pps.net/courses/64513/assignments/744180</t>
  </si>
  <si>
    <t>https://lms.pps.net/courses/64513/assignments/744180/submissions?zip=1</t>
  </si>
  <si>
    <t>747038</t>
  </si>
  <si>
    <t xml:space="preserve">3.2 One Brick to Rule Them All - Assignment </t>
  </si>
  <si>
    <t>https://lms.pps.net/courses/64513/assignments/747038</t>
  </si>
  <si>
    <t>https://lms.pps.net/courses/64513/assignments/747038/submissions?zip=1</t>
  </si>
  <si>
    <t>747092</t>
  </si>
  <si>
    <t xml:space="preserve">3.3 Building Blocks Assignment </t>
  </si>
  <si>
    <t>https://lms.pps.net/courses/64513/assignments/747092</t>
  </si>
  <si>
    <t>https://lms.pps.net/courses/64513/assignments/747092/submissions?zip=1</t>
  </si>
  <si>
    <t>748789</t>
  </si>
  <si>
    <t>3.4 Instruction Manual Assignment</t>
  </si>
  <si>
    <t>https://lms.pps.net/courses/64513/assignments/748789</t>
  </si>
  <si>
    <t>https://lms.pps.net/courses/64513/assignments/748789/submissions?zip=1</t>
  </si>
  <si>
    <t>740975</t>
  </si>
  <si>
    <t>Final Design and Analysis</t>
  </si>
  <si>
    <t>https://lms.pps.net/courses/80430/assignments/740975</t>
  </si>
  <si>
    <t>https://lms.pps.net/courses/80430/assignments/740975/submissions?zip=1</t>
  </si>
  <si>
    <t>740989</t>
  </si>
  <si>
    <t>https://lms.pps.net/courses/80434/assignments/740989</t>
  </si>
  <si>
    <t>https://lms.pps.net/courses/80434/assignments/740989/submissions?zip=1</t>
  </si>
  <si>
    <t>729519</t>
  </si>
  <si>
    <t>Complete the Flight Traffic Controller Challenge</t>
  </si>
  <si>
    <t>https://lms.pps.net/courses/64302/assignments/729519</t>
  </si>
  <si>
    <t>https://lms.pps.net/courses/64302/assignments/729519/submissions?zip=1</t>
  </si>
  <si>
    <t>730554</t>
  </si>
  <si>
    <t>Organize Your Kits</t>
  </si>
  <si>
    <t>https://lms.pps.net/courses/64302/assignments/730554</t>
  </si>
  <si>
    <t>https://lms.pps.net/courses/64302/assignments/730554/submissions?zip=1</t>
  </si>
  <si>
    <t>729515</t>
  </si>
  <si>
    <t>Medbot 1: Basketball Drills Challenge</t>
  </si>
  <si>
    <t>https://lms.pps.net/courses/64302/assignments/729515</t>
  </si>
  <si>
    <t>https://lms.pps.net/courses/64302/assignments/729515/submissions?zip=1</t>
  </si>
  <si>
    <t>729512</t>
  </si>
  <si>
    <t>Build the Robo Rally Robot</t>
  </si>
  <si>
    <t>https://lms.pps.net/courses/64302/assignments/729512</t>
  </si>
  <si>
    <t>https://lms.pps.net/courses/64302/assignments/729512/submissions?zip=1</t>
  </si>
  <si>
    <t>729516</t>
  </si>
  <si>
    <t>Medbot 2: Security Camera Challenge!</t>
  </si>
  <si>
    <t>https://lms.pps.net/courses/64302/assignments/729516</t>
  </si>
  <si>
    <t>https://lms.pps.net/courses/64302/assignments/729516/submissions?zip=1</t>
  </si>
  <si>
    <t>729517</t>
  </si>
  <si>
    <t>Medbot 3: "AutoMed" Challenge</t>
  </si>
  <si>
    <t>https://lms.pps.net/courses/64302/assignments/729517</t>
  </si>
  <si>
    <t>https://lms.pps.net/courses/64302/assignments/729517/submissions?zip=1</t>
  </si>
  <si>
    <t>729518</t>
  </si>
  <si>
    <t>Build the Clawbot</t>
  </si>
  <si>
    <t>https://lms.pps.net/courses/64302/assignments/729518</t>
  </si>
  <si>
    <t>https://lms.pps.net/courses/64302/assignments/729518/submissions?zip=1</t>
  </si>
  <si>
    <t>729520</t>
  </si>
  <si>
    <t>Package Dash Challenge</t>
  </si>
  <si>
    <t>https://lms.pps.net/courses/64302/assignments/729520</t>
  </si>
  <si>
    <t>https://lms.pps.net/courses/64302/assignments/729520/submissions?zip=1</t>
  </si>
  <si>
    <t>742529</t>
  </si>
  <si>
    <t>https://lms.pps.net/courses/64302/assignments/742529</t>
  </si>
  <si>
    <t>https://lms.pps.net/courses/64302/assignments/742529/submissions?zip=1</t>
  </si>
  <si>
    <t>742530</t>
  </si>
  <si>
    <t>https://lms.pps.net/courses/64302/assignments/742530</t>
  </si>
  <si>
    <t>https://lms.pps.net/courses/64302/assignments/742530/submissions?zip=1</t>
  </si>
  <si>
    <t>742531</t>
  </si>
  <si>
    <t>https://lms.pps.net/courses/64302/assignments/742531</t>
  </si>
  <si>
    <t>https://lms.pps.net/courses/64302/assignments/742531/submissions?zip=1</t>
  </si>
  <si>
    <t>742528</t>
  </si>
  <si>
    <t>https://lms.pps.net/courses/64302/assignments/742528</t>
  </si>
  <si>
    <t>https://lms.pps.net/courses/64302/quizzes/96176/submissions?zip=1</t>
  </si>
  <si>
    <t>748546</t>
  </si>
  <si>
    <t>https://lms.pps.net/courses/64302/assignments/748546</t>
  </si>
  <si>
    <t>https://lms.pps.net/courses/64302/assignments/748546/submissions?zip=1</t>
  </si>
  <si>
    <t>748547</t>
  </si>
  <si>
    <t>https://lms.pps.net/courses/64302/assignments/748547</t>
  </si>
  <si>
    <t>https://lms.pps.net/courses/64302/assignments/748547/submissions?zip=1</t>
  </si>
  <si>
    <t>748548</t>
  </si>
  <si>
    <t>https://lms.pps.net/courses/64302/assignments/748548</t>
  </si>
  <si>
    <t>https://lms.pps.net/courses/64302/assignments/748548/submissions?zip=1</t>
  </si>
  <si>
    <t>748549</t>
  </si>
  <si>
    <t>https://lms.pps.net/courses/64302/assignments/748549</t>
  </si>
  <si>
    <t>https://lms.pps.net/courses/64302/assignments/748549/submissions?zip=1</t>
  </si>
  <si>
    <t>748550</t>
  </si>
  <si>
    <t>https://lms.pps.net/courses/64302/assignments/748550</t>
  </si>
  <si>
    <t>https://lms.pps.net/courses/64302/assignments/748550/submissions?zip=1</t>
  </si>
  <si>
    <t>730568</t>
  </si>
  <si>
    <t>https://lms.pps.net/courses/80436/assignments/730568</t>
  </si>
  <si>
    <t>https://lms.pps.net/courses/80436/assignments/730568/submissions?zip=1</t>
  </si>
  <si>
    <t>729666</t>
  </si>
  <si>
    <t>https://lms.pps.net/courses/80436/assignments/729666</t>
  </si>
  <si>
    <t>https://lms.pps.net/courses/80436/assignments/729666/submissions?zip=1</t>
  </si>
  <si>
    <t>734806</t>
  </si>
  <si>
    <t>https://lms.pps.net/courses/80436/assignments/734806</t>
  </si>
  <si>
    <t>https://lms.pps.net/courses/80436/assignments/734806/submissions?zip=1</t>
  </si>
  <si>
    <t>734807</t>
  </si>
  <si>
    <t>https://lms.pps.net/courses/80436/assignments/734807</t>
  </si>
  <si>
    <t>https://lms.pps.net/courses/80436/assignments/734807/submissions?zip=1</t>
  </si>
  <si>
    <t>734808</t>
  </si>
  <si>
    <t>https://lms.pps.net/courses/80436/assignments/734808</t>
  </si>
  <si>
    <t>https://lms.pps.net/courses/80436/assignments/734808/submissions?zip=1</t>
  </si>
  <si>
    <t>746290</t>
  </si>
  <si>
    <t>https://lms.pps.net/courses/80436/assignments/746290</t>
  </si>
  <si>
    <t>https://lms.pps.net/courses/80436/assignments/746290/submissions?zip=1</t>
  </si>
  <si>
    <t>746291</t>
  </si>
  <si>
    <t>https://lms.pps.net/courses/80436/assignments/746291</t>
  </si>
  <si>
    <t>https://lms.pps.net/courses/80436/assignments/746291/submissions?zip=1</t>
  </si>
  <si>
    <t>746292</t>
  </si>
  <si>
    <t>https://lms.pps.net/courses/80436/assignments/746292</t>
  </si>
  <si>
    <t>https://lms.pps.net/courses/80436/assignments/746292/submissions?zip=1</t>
  </si>
  <si>
    <t>743435</t>
  </si>
  <si>
    <t>https://lms.pps.net/courses/80436/assignments/743435</t>
  </si>
  <si>
    <t>https://lms.pps.net/courses/80436/assignments/743435/submissions?zip=1</t>
  </si>
  <si>
    <t>743436</t>
  </si>
  <si>
    <t>https://lms.pps.net/courses/80436/assignments/743436</t>
  </si>
  <si>
    <t>https://lms.pps.net/courses/80436/assignments/743436/submissions?zip=1</t>
  </si>
  <si>
    <t>743437</t>
  </si>
  <si>
    <t>https://lms.pps.net/courses/80436/assignments/743437</t>
  </si>
  <si>
    <t>https://lms.pps.net/courses/80436/assignments/743437/submissions?zip=1</t>
  </si>
  <si>
    <t>743434</t>
  </si>
  <si>
    <t>https://lms.pps.net/courses/80436/assignments/743434</t>
  </si>
  <si>
    <t>https://lms.pps.net/courses/80436/quizzes/96266/submissions?zip=1</t>
  </si>
  <si>
    <t>748570</t>
  </si>
  <si>
    <t>https://lms.pps.net/courses/80436/assignments/748570</t>
  </si>
  <si>
    <t>https://lms.pps.net/courses/80436/assignments/748570/submissions?zip=1</t>
  </si>
  <si>
    <t>748571</t>
  </si>
  <si>
    <t>https://lms.pps.net/courses/80436/assignments/748571</t>
  </si>
  <si>
    <t>https://lms.pps.net/courses/80436/assignments/748571/submissions?zip=1</t>
  </si>
  <si>
    <t>748572</t>
  </si>
  <si>
    <t>https://lms.pps.net/courses/80436/assignments/748572</t>
  </si>
  <si>
    <t>https://lms.pps.net/courses/80436/assignments/748572/submissions?zip=1</t>
  </si>
  <si>
    <t>748573</t>
  </si>
  <si>
    <t>https://lms.pps.net/courses/80436/assignments/748573</t>
  </si>
  <si>
    <t>https://lms.pps.net/courses/80436/assignments/748573/submissions?zip=1</t>
  </si>
  <si>
    <t>748574</t>
  </si>
  <si>
    <t>https://lms.pps.net/courses/80436/assignments/748574</t>
  </si>
  <si>
    <t>https://lms.pps.net/courses/80436/assignments/748574/submissions?zip=1</t>
  </si>
  <si>
    <t>766378</t>
  </si>
  <si>
    <t>Precedent Research</t>
  </si>
  <si>
    <t>https://lms.pps.net/courses/64513/assignments/766378</t>
  </si>
  <si>
    <t>https://lms.pps.net/courses/64513/assignments/766378/submissions?zip=1</t>
  </si>
  <si>
    <t>774639</t>
  </si>
  <si>
    <t>Draw 3 Simple Machines</t>
  </si>
  <si>
    <t>https://lms.pps.net/courses/64513/assignments/774639</t>
  </si>
  <si>
    <t>https://lms.pps.net/courses/64513/assignments/774639/submissions?zip=1</t>
  </si>
  <si>
    <t>774011</t>
  </si>
  <si>
    <t>Sketch w/ Dimensions</t>
  </si>
  <si>
    <t>https://lms.pps.net/courses/64513/assignments/774011</t>
  </si>
  <si>
    <t>https://lms.pps.net/courses/64513/assignments/774011/submissions?zip=1</t>
  </si>
  <si>
    <t>773614</t>
  </si>
  <si>
    <t>Rotate and Grab</t>
  </si>
  <si>
    <t>https://lms.pps.net/courses/64302/assignments/773614</t>
  </si>
  <si>
    <t>https://lms.pps.net/courses/64302/assignments/773614/submissions?zip=1</t>
  </si>
  <si>
    <t>772744</t>
  </si>
  <si>
    <t>https://lms.pps.net/courses/64302/assignments/772744</t>
  </si>
  <si>
    <t>https://lms.pps.net/courses/64302/assignments/772744/submissions?zip=1</t>
  </si>
  <si>
    <t>772745</t>
  </si>
  <si>
    <t>https://lms.pps.net/courses/64302/assignments/772745</t>
  </si>
  <si>
    <t>https://lms.pps.net/courses/64302/assignments/772745/submissions?zip=1</t>
  </si>
  <si>
    <t>772746</t>
  </si>
  <si>
    <t>https://lms.pps.net/courses/64302/assignments/772746</t>
  </si>
  <si>
    <t>https://lms.pps.net/courses/64302/assignments/772746/submissions?zip=1</t>
  </si>
  <si>
    <t>772747</t>
  </si>
  <si>
    <t>https://lms.pps.net/courses/64302/assignments/772747</t>
  </si>
  <si>
    <t>https://lms.pps.net/courses/64302/assignments/772747/submissions?zip=1</t>
  </si>
  <si>
    <t>773621</t>
  </si>
  <si>
    <t>https://lms.pps.net/courses/80436/assignments/773621</t>
  </si>
  <si>
    <t>https://lms.pps.net/courses/80436/assignments/773621/submissions?zip=1</t>
  </si>
  <si>
    <t>772748</t>
  </si>
  <si>
    <t>https://lms.pps.net/courses/80436/assignments/772748</t>
  </si>
  <si>
    <t>https://lms.pps.net/courses/80436/assignments/772748/submissions?zip=1</t>
  </si>
  <si>
    <t>772749</t>
  </si>
  <si>
    <t>https://lms.pps.net/courses/80436/assignments/772749</t>
  </si>
  <si>
    <t>https://lms.pps.net/courses/80436/assignments/772749/submissions?zip=1</t>
  </si>
  <si>
    <t>772750</t>
  </si>
  <si>
    <t>https://lms.pps.net/courses/80436/assignments/772750</t>
  </si>
  <si>
    <t>https://lms.pps.net/courses/80436/assignments/772750/submissions?zip=1</t>
  </si>
  <si>
    <t>772751</t>
  </si>
  <si>
    <t>https://lms.pps.net/courses/80436/assignments/772751</t>
  </si>
  <si>
    <t>https://lms.pps.net/courses/80436/assignments/772751/submissions?zip=1</t>
  </si>
  <si>
    <t>786254</t>
  </si>
  <si>
    <t>Video of Working Machine</t>
  </si>
  <si>
    <t>https://lms.pps.net/courses/64513/assignments/786254</t>
  </si>
  <si>
    <t>https://lms.pps.net/courses/64513/assignments/786254/submissions?zip=1</t>
  </si>
  <si>
    <t>786320</t>
  </si>
  <si>
    <t>Rube Goldberg Project Final Report</t>
  </si>
  <si>
    <t>https://lms.pps.net/courses/64513/assignments/786320</t>
  </si>
  <si>
    <t>https://lms.pps.net/courses/64513/assignments/786320/submissions?zip=1</t>
  </si>
  <si>
    <t>788450</t>
  </si>
  <si>
    <t>Outreach Project Report</t>
  </si>
  <si>
    <t>https://lms.pps.net/courses/80430/assignments/788450</t>
  </si>
  <si>
    <t>https://lms.pps.net/courses/80430/assignments/788450/submissions?zip=1</t>
  </si>
  <si>
    <t>788508</t>
  </si>
  <si>
    <t>Popsicle Stick Bridge Report</t>
  </si>
  <si>
    <t>https://lms.pps.net/courses/80430/assignments/788508</t>
  </si>
  <si>
    <t>https://lms.pps.net/courses/80430/assignments/788508/submissions?zip=1</t>
  </si>
  <si>
    <t>788510</t>
  </si>
  <si>
    <t>https://lms.pps.net/courses/80434/assignments/788510</t>
  </si>
  <si>
    <t>https://lms.pps.net/courses/80434/assignments/788510/submissions?zip=1</t>
  </si>
  <si>
    <t>788509</t>
  </si>
  <si>
    <t>https://lms.pps.net/courses/80434/assignments/788509</t>
  </si>
  <si>
    <t>https://lms.pps.net/courses/80434/assignments/788509/submissions?zip=1</t>
  </si>
  <si>
    <t>786652</t>
  </si>
  <si>
    <t>Turn Grab and Place</t>
  </si>
  <si>
    <t>https://lms.pps.net/courses/64302/assignments/786652</t>
  </si>
  <si>
    <t>https://lms.pps.net/courses/64302/assignments/786652/submissions?zip=1</t>
  </si>
  <si>
    <t>778719</t>
  </si>
  <si>
    <t>https://lms.pps.net/courses/64302/assignments/778719</t>
  </si>
  <si>
    <t>https://lms.pps.net/courses/64302/assignments/778719/submissions?zip=1</t>
  </si>
  <si>
    <t>786655</t>
  </si>
  <si>
    <t>https://lms.pps.net/courses/80436/assignments/786655</t>
  </si>
  <si>
    <t>https://lms.pps.net/courses/80436/assignments/786655/submissions?zip=1</t>
  </si>
  <si>
    <t>778720</t>
  </si>
  <si>
    <t>https://lms.pps.net/courses/80436/assignments/778720</t>
  </si>
  <si>
    <t>https://lms.pps.net/courses/80436/assignments/778720/submissions?zip=1</t>
  </si>
  <si>
    <t>792408</t>
  </si>
  <si>
    <t>Soccer Video</t>
  </si>
  <si>
    <t>https://lms.pps.net/courses/64302/assignments/792408</t>
  </si>
  <si>
    <t>https://lms.pps.net/courses/64302/assignments/792408/submissions?zip=1</t>
  </si>
  <si>
    <t>792409</t>
  </si>
  <si>
    <t>https://lms.pps.net/courses/80436/assignments/792409</t>
  </si>
  <si>
    <t>https://lms.pps.net/courses/80436/assignments/792409/submissions?zip=1</t>
  </si>
  <si>
    <t>downloaded at 14 June 2022 12:04 by Nick Fenger from: https://lms.pps.net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</si>
</sst>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 mmm\ yyyy\ hh:mm"/>
    <numFmt numFmtId="165" formatCode="[$-413]d\ mmmm\ yyyy;@"/>
    <numFmt numFmtId="166" formatCode="&quot;Yes&quot;;;&quot;No&quot;"/>
  </numFmts>
  <fonts count="21" x14ac:knownFonts="1">
    <font>
      <sz val="11"/>
      <color theme="1"/>
      <name val="Calibri"/>
      <family val="2"/>
      <scheme val="minor"/>
    </font>
    <font>
      <b/>
      <sz val="16"/>
      <color theme="1"/>
      <name val="Calibri"/>
      <family val="2"/>
      <scheme val="minor"/>
    </font>
    <font>
      <b/>
      <sz val="11"/>
      <color theme="1"/>
      <name val="Calibri"/>
      <family val="2"/>
      <scheme val="minor"/>
    </font>
    <font>
      <b/>
      <sz val="11"/>
      <color rgb="FFFF0000"/>
      <name val="Calibri"/>
      <family val="2"/>
      <scheme val="minor"/>
    </font>
    <font>
      <u/>
      <sz val="11"/>
      <color theme="10"/>
      <name val="Calibri"/>
      <family val="2"/>
      <scheme val="minor"/>
    </font>
    <font>
      <u/>
      <sz val="11"/>
      <color theme="11"/>
      <name val="Calibri"/>
      <family val="2"/>
      <scheme val="minor"/>
    </font>
    <font>
      <sz val="11"/>
      <name val="Calibri"/>
      <family val="2"/>
      <scheme val="minor"/>
    </font>
    <font>
      <b/>
      <sz val="14"/>
      <color theme="1"/>
      <name val="Calibri"/>
      <family val="2"/>
      <scheme val="minor"/>
    </font>
    <font>
      <sz val="11"/>
      <color rgb="FFFF0000"/>
      <name val="Calibri"/>
      <family val="2"/>
      <scheme val="minor"/>
    </font>
    <font>
      <sz val="11"/>
      <color rgb="FF000000"/>
      <name val="Calibri"/>
      <family val="2"/>
      <scheme val="minor"/>
    </font>
    <font>
      <u/>
      <sz val="11"/>
      <color rgb="FF0000FF"/>
      <name val="Calibri"/>
      <family val="2"/>
      <scheme val="minor"/>
    </font>
    <font>
      <sz val="11"/>
      <color theme="1"/>
      <name val="Calibri"/>
      <family val="2"/>
      <scheme val="minor"/>
    </font>
    <font>
      <sz val="9"/>
      <color indexed="81"/>
      <name val="Tahoma"/>
      <family val="2"/>
    </font>
    <font>
      <sz val="11"/>
      <color rgb="FF9C0006"/>
      <name val="Calibri"/>
      <family val="2"/>
      <scheme val="minor"/>
    </font>
    <font>
      <i/>
      <sz val="9"/>
      <color indexed="81"/>
      <name val="Tahoma"/>
      <family val="2"/>
    </font>
    <font>
      <sz val="11"/>
      <color rgb="FF000000"/>
      <name val="Calibri"/>
      <family val="2"/>
      <scheme val="minor"/>
    </font>
    <font>
      <sz val="11"/>
      <color rgb="FF0A0A0A"/>
      <name val="Lato"/>
      <family val="2"/>
    </font>
    <font>
      <sz val="11"/>
      <color rgb="FF000000"/>
      <name val="Calibri"/>
      <scheme val="minor"/>
    </font>
    <font>
      <sz val="9"/>
      <color indexed="81"/>
      <name val="Tahoma"/>
      <charset val="1"/>
    </font>
    <font>
      <b/>
      <sz val="11"/>
      <color theme="0"/>
      <name val="Calibri"/>
      <family val="2"/>
      <scheme val="minor"/>
    </font>
    <font>
      <sz val="11"/>
      <color rgb="FFFF00FF"/>
      <name val="Calibri"/>
      <family val="2"/>
      <scheme val="minor"/>
    </font>
  </fonts>
  <fills count="5">
    <fill>
      <patternFill patternType="none"/>
    </fill>
    <fill>
      <patternFill patternType="gray125"/>
    </fill>
    <fill>
      <patternFill patternType="solid">
        <fgColor theme="8" tint="0.59999389629810485"/>
        <bgColor indexed="64"/>
      </patternFill>
    </fill>
    <fill>
      <patternFill patternType="solid">
        <fgColor rgb="FFFFC7CE"/>
      </patternFill>
    </fill>
    <fill>
      <patternFill patternType="solid">
        <fgColor theme="4"/>
        <bgColor theme="4"/>
      </patternFill>
    </fill>
  </fills>
  <borders count="4">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7">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10" fillId="0" borderId="0" applyNumberFormat="0" applyFill="0" applyBorder="0" applyAlignment="0" applyProtection="0"/>
    <xf numFmtId="9" fontId="11" fillId="0" borderId="0" applyFont="0" applyFill="0" applyBorder="0" applyAlignment="0" applyProtection="0"/>
    <xf numFmtId="0" fontId="13" fillId="3" borderId="0" applyNumberFormat="0" applyBorder="0" applyAlignment="0" applyProtection="0"/>
  </cellStyleXfs>
  <cellXfs count="70">
    <xf numFmtId="0" fontId="0" fillId="0" borderId="0" xfId="0"/>
    <xf numFmtId="49" fontId="0" fillId="0" borderId="0" xfId="0" applyNumberFormat="1"/>
    <xf numFmtId="49" fontId="0" fillId="0" borderId="0" xfId="0" applyNumberFormat="1" applyFill="1" applyAlignment="1">
      <alignment vertical="top"/>
    </xf>
    <xf numFmtId="49" fontId="0" fillId="0" borderId="0" xfId="0" applyNumberFormat="1" applyAlignment="1" applyProtection="1">
      <alignment vertical="top"/>
      <protection locked="0"/>
    </xf>
    <xf numFmtId="49" fontId="0" fillId="2" borderId="0" xfId="0" applyNumberFormat="1" applyFill="1" applyAlignment="1" applyProtection="1">
      <alignment horizontal="right" vertical="top"/>
      <protection locked="0"/>
    </xf>
    <xf numFmtId="49" fontId="1" fillId="2" borderId="0" xfId="0" applyNumberFormat="1" applyFont="1" applyFill="1" applyAlignment="1" applyProtection="1">
      <alignment vertical="top"/>
      <protection locked="0"/>
    </xf>
    <xf numFmtId="49" fontId="2" fillId="0" borderId="0" xfId="0" applyNumberFormat="1" applyFont="1"/>
    <xf numFmtId="49" fontId="3" fillId="0" borderId="0" xfId="0" applyNumberFormat="1" applyFont="1"/>
    <xf numFmtId="49" fontId="3" fillId="2" borderId="0" xfId="0" applyNumberFormat="1" applyFont="1" applyFill="1" applyAlignment="1" applyProtection="1">
      <alignment vertical="center" wrapText="1"/>
      <protection locked="0"/>
    </xf>
    <xf numFmtId="49" fontId="0" fillId="2" borderId="0" xfId="0" applyNumberFormat="1" applyFill="1" applyAlignment="1" applyProtection="1">
      <alignment vertical="top"/>
    </xf>
    <xf numFmtId="49" fontId="2" fillId="2" borderId="0" xfId="0" applyNumberFormat="1" applyFont="1" applyFill="1" applyAlignment="1" applyProtection="1">
      <alignment vertical="top"/>
    </xf>
    <xf numFmtId="49" fontId="0" fillId="2" borderId="0" xfId="0" applyNumberFormat="1" applyFill="1" applyAlignment="1" applyProtection="1">
      <alignment vertical="center"/>
    </xf>
    <xf numFmtId="49" fontId="0" fillId="2" borderId="0" xfId="0" applyNumberFormat="1" applyFill="1" applyAlignment="1" applyProtection="1">
      <alignment horizontal="right" vertical="top"/>
    </xf>
    <xf numFmtId="49" fontId="2" fillId="0" borderId="0" xfId="0" applyNumberFormat="1" applyFont="1" applyAlignment="1" applyProtection="1">
      <alignment wrapText="1"/>
      <protection locked="0"/>
    </xf>
    <xf numFmtId="0" fontId="0" fillId="0" borderId="0" xfId="0" applyAlignment="1">
      <alignment horizontal="right" vertical="top"/>
    </xf>
    <xf numFmtId="0" fontId="0" fillId="0" borderId="0" xfId="0" applyAlignment="1">
      <alignment vertical="top"/>
    </xf>
    <xf numFmtId="0" fontId="2" fillId="0" borderId="0" xfId="0" applyFont="1" applyAlignment="1">
      <alignment horizontal="right" vertical="top"/>
    </xf>
    <xf numFmtId="0" fontId="2" fillId="0" borderId="0" xfId="0" applyFont="1" applyAlignment="1">
      <alignment vertical="top"/>
    </xf>
    <xf numFmtId="9" fontId="7" fillId="2" borderId="0" xfId="0" applyNumberFormat="1" applyFont="1" applyFill="1" applyAlignment="1">
      <alignment horizontal="right" vertical="center"/>
    </xf>
    <xf numFmtId="0" fontId="0" fillId="0" borderId="0" xfId="0" applyNumberFormat="1" applyAlignment="1" applyProtection="1">
      <alignment vertical="top"/>
      <protection locked="0"/>
    </xf>
    <xf numFmtId="0" fontId="2" fillId="0" borderId="0" xfId="0" applyNumberFormat="1" applyFont="1" applyAlignment="1" applyProtection="1">
      <alignment wrapText="1"/>
      <protection locked="0"/>
    </xf>
    <xf numFmtId="49" fontId="8" fillId="2" borderId="0" xfId="0" applyNumberFormat="1" applyFont="1" applyFill="1" applyAlignment="1" applyProtection="1">
      <alignment horizontal="center"/>
    </xf>
    <xf numFmtId="9" fontId="0" fillId="0" borderId="0" xfId="0" applyNumberFormat="1" applyAlignment="1">
      <alignment vertical="top"/>
    </xf>
    <xf numFmtId="0" fontId="0" fillId="0" borderId="0" xfId="0" applyFont="1" applyAlignment="1">
      <alignment vertical="top"/>
    </xf>
    <xf numFmtId="0" fontId="2" fillId="0" borderId="0" xfId="0" applyFont="1"/>
    <xf numFmtId="0" fontId="10" fillId="0" borderId="0" xfId="4"/>
    <xf numFmtId="0" fontId="2" fillId="0" borderId="0" xfId="0" applyFont="1" applyAlignment="1">
      <alignment horizontal="left" vertical="top"/>
    </xf>
    <xf numFmtId="0" fontId="0" fillId="0" borderId="0" xfId="0" applyAlignment="1">
      <alignment horizontal="left" vertical="top" wrapText="1"/>
    </xf>
    <xf numFmtId="0" fontId="8" fillId="0" borderId="0" xfId="0" applyFont="1" applyAlignment="1">
      <alignment vertical="top"/>
    </xf>
    <xf numFmtId="1" fontId="0" fillId="0" borderId="0" xfId="0" applyNumberFormat="1" applyAlignment="1">
      <alignment vertical="top"/>
    </xf>
    <xf numFmtId="9" fontId="0" fillId="0" borderId="0" xfId="0" applyNumberFormat="1" applyFont="1" applyAlignment="1">
      <alignment vertical="top"/>
    </xf>
    <xf numFmtId="0" fontId="0" fillId="0" borderId="0" xfId="0" applyFont="1" applyAlignment="1">
      <alignment horizontal="right" vertical="top"/>
    </xf>
    <xf numFmtId="0" fontId="6" fillId="0" borderId="0" xfId="0" applyFont="1" applyAlignment="1">
      <alignment vertical="top"/>
    </xf>
    <xf numFmtId="9" fontId="0" fillId="0" borderId="0" xfId="5" applyFont="1" applyAlignment="1">
      <alignment vertical="top"/>
    </xf>
    <xf numFmtId="0" fontId="0" fillId="2" borderId="0" xfId="0" applyNumberFormat="1" applyFill="1" applyAlignment="1" applyProtection="1">
      <alignment vertical="top"/>
    </xf>
    <xf numFmtId="0" fontId="2" fillId="2" borderId="0" xfId="0" applyNumberFormat="1" applyFont="1" applyFill="1" applyAlignment="1" applyProtection="1">
      <alignment vertical="center"/>
    </xf>
    <xf numFmtId="0" fontId="6" fillId="0" borderId="0" xfId="0" applyNumberFormat="1" applyFont="1" applyAlignment="1" applyProtection="1">
      <alignment vertical="top"/>
      <protection locked="0"/>
    </xf>
    <xf numFmtId="0" fontId="0" fillId="2" borderId="0" xfId="0" applyNumberFormat="1" applyFill="1" applyAlignment="1" applyProtection="1">
      <alignment vertical="center"/>
    </xf>
    <xf numFmtId="0" fontId="2" fillId="2" borderId="0" xfId="0" applyNumberFormat="1" applyFont="1" applyFill="1" applyAlignment="1" applyProtection="1">
      <alignment vertical="center"/>
      <protection locked="0"/>
    </xf>
    <xf numFmtId="0" fontId="0" fillId="0" borderId="0" xfId="0" applyAlignment="1" applyProtection="1">
      <alignment horizontal="right" vertical="top"/>
      <protection locked="0"/>
    </xf>
    <xf numFmtId="0" fontId="0" fillId="0" borderId="0" xfId="0" applyAlignment="1" applyProtection="1">
      <alignment vertical="top"/>
      <protection locked="0"/>
    </xf>
    <xf numFmtId="0" fontId="4" fillId="0" borderId="0" xfId="3" quotePrefix="1"/>
    <xf numFmtId="0" fontId="0" fillId="0" borderId="0" xfId="0" quotePrefix="1"/>
    <xf numFmtId="164" fontId="0" fillId="0" borderId="0" xfId="0" applyNumberFormat="1"/>
    <xf numFmtId="164" fontId="9" fillId="0" borderId="0" xfId="0" applyNumberFormat="1" applyFont="1"/>
    <xf numFmtId="0" fontId="4" fillId="0" borderId="0" xfId="3"/>
    <xf numFmtId="9" fontId="2" fillId="2" borderId="0" xfId="5" applyFont="1" applyFill="1" applyAlignment="1" applyProtection="1">
      <alignment vertical="center"/>
    </xf>
    <xf numFmtId="0" fontId="0" fillId="2" borderId="0" xfId="0" applyNumberFormat="1" applyFill="1" applyAlignment="1" applyProtection="1">
      <alignment horizontal="right" vertical="top"/>
    </xf>
    <xf numFmtId="14" fontId="0" fillId="2" borderId="0" xfId="0" applyNumberFormat="1" applyFill="1" applyAlignment="1" applyProtection="1">
      <alignment horizontal="right" vertical="top"/>
    </xf>
    <xf numFmtId="165" fontId="13" fillId="3" borderId="0" xfId="6" applyNumberFormat="1" applyAlignment="1" applyProtection="1">
      <alignment horizontal="right" vertical="top"/>
    </xf>
    <xf numFmtId="166" fontId="0" fillId="0" borderId="0" xfId="0" applyNumberFormat="1"/>
    <xf numFmtId="0" fontId="15" fillId="0" borderId="0" xfId="0" applyFont="1"/>
    <xf numFmtId="0" fontId="16" fillId="0" borderId="0" xfId="0" applyFont="1"/>
    <xf numFmtId="49" fontId="16" fillId="0" borderId="0" xfId="0" applyNumberFormat="1" applyFont="1"/>
    <xf numFmtId="166" fontId="0" fillId="0" borderId="0" xfId="0" applyNumberFormat="1" applyAlignment="1" applyProtection="1">
      <alignment vertical="top"/>
      <protection locked="0"/>
    </xf>
    <xf numFmtId="164" fontId="9" fillId="0" borderId="0" xfId="0" applyNumberFormat="1" applyFont="1" applyAlignment="1" applyProtection="1">
      <alignment vertical="top"/>
      <protection locked="0"/>
    </xf>
    <xf numFmtId="49" fontId="9"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4" fillId="0" borderId="0" xfId="3" applyNumberFormat="1" applyAlignment="1" applyProtection="1">
      <alignment vertical="top"/>
      <protection locked="0"/>
    </xf>
    <xf numFmtId="0" fontId="4" fillId="0" borderId="0" xfId="3" quotePrefix="1" applyNumberFormat="1" applyAlignment="1" applyProtection="1">
      <alignment vertical="top"/>
      <protection locked="0"/>
    </xf>
    <xf numFmtId="0" fontId="0" fillId="0" borderId="0" xfId="0" quotePrefix="1" applyNumberFormat="1" applyAlignment="1" applyProtection="1">
      <alignment vertical="top"/>
      <protection locked="0"/>
    </xf>
    <xf numFmtId="49" fontId="17" fillId="0" borderId="0" xfId="0" applyNumberFormat="1" applyFont="1" applyAlignment="1" applyProtection="1">
      <alignment vertical="top"/>
      <protection locked="0"/>
    </xf>
    <xf numFmtId="0" fontId="17" fillId="0" borderId="0" xfId="0" applyFont="1"/>
    <xf numFmtId="49" fontId="19" fillId="4" borderId="1" xfId="0" applyNumberFormat="1" applyFont="1" applyFill="1" applyBorder="1" applyAlignment="1">
      <alignment wrapText="1"/>
    </xf>
    <xf numFmtId="0" fontId="19" fillId="4" borderId="2" xfId="0" applyFont="1" applyFill="1" applyBorder="1" applyAlignment="1">
      <alignment wrapText="1"/>
    </xf>
    <xf numFmtId="0" fontId="19" fillId="4" borderId="3" xfId="0" applyFont="1" applyFill="1" applyBorder="1" applyAlignment="1">
      <alignment wrapText="1"/>
    </xf>
    <xf numFmtId="0" fontId="0" fillId="0" borderId="0" xfId="0" applyAlignment="1">
      <alignment horizontal="right"/>
    </xf>
    <xf numFmtId="49" fontId="0" fillId="0" borderId="0" xfId="0" applyNumberFormat="1" applyAlignment="1" applyProtection="1">
      <alignment horizontal="right" vertical="top"/>
      <protection locked="0"/>
    </xf>
    <xf numFmtId="164" fontId="20" fillId="0" borderId="0" xfId="0" applyNumberFormat="1" applyFont="1"/>
    <xf numFmtId="164" fontId="20" fillId="0" borderId="0" xfId="0" applyNumberFormat="1" applyFont="1" applyAlignment="1" applyProtection="1">
      <alignment vertical="top"/>
      <protection locked="0"/>
    </xf>
  </cellXfs>
  <cellStyles count="7">
    <cellStyle name="Bad" xfId="6" builtinId="27"/>
    <cellStyle name="Followed Hyperlink" xfId="2" builtinId="9" hidden="1"/>
    <cellStyle name="Hyperlink" xfId="1" builtinId="8" hidden="1"/>
    <cellStyle name="Hyperlink" xfId="3" builtinId="8"/>
    <cellStyle name="Hyperlink 2" xfId="4" xr:uid="{00000000-0005-0000-0000-000004000000}"/>
    <cellStyle name="Normal" xfId="0" builtinId="0"/>
    <cellStyle name="Percent" xfId="5" builtinId="5"/>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dxf>
    <dxf>
      <font>
        <b val="0"/>
        <i/>
        <color theme="0" tint="-0.34998626667073579"/>
      </font>
    </dxf>
    <dxf>
      <font>
        <b val="0"/>
        <i/>
        <color theme="0" tint="-0.3499862666707357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bottom style="thin">
          <color auto="1"/>
        </bottom>
        <vertical/>
        <horizontal/>
      </border>
    </dxf>
    <dxf>
      <font>
        <color rgb="FF000000"/>
      </font>
      <numFmt numFmtId="164" formatCode="d\ mmm\ yyyy\ hh:mm"/>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4" formatCode="d\ mmm\ yyyy\ hh:mm"/>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numFmt numFmtId="166" formatCode="&quot;Yes&quot;;;&quot;No&quot;"/>
    </dxf>
    <dxf>
      <alignment horizontal="right" textRotation="0" wrapText="0" indent="0" justifyLastLine="0" shrinkToFit="0" readingOrder="0"/>
    </dxf>
    <dxf>
      <numFmt numFmtId="164" formatCode="d\ mmm\ yyyy\ hh:mm"/>
    </dxf>
    <dxf>
      <numFmt numFmtId="164" formatCode="d\ mmm\ yyyy\ hh:mm"/>
    </dxf>
    <dxf>
      <numFmt numFmtId="166" formatCode="&quot;Yes&quot;;;&quot;No&quo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color rgb="FF000000"/>
      </font>
      <numFmt numFmtId="164" formatCode="d\ mmm\ yyyy\ hh:mm"/>
    </dxf>
    <dxf>
      <font>
        <color rgb="FF000000"/>
      </font>
      <numFmt numFmtId="164" formatCode="d\ mmm\ yyyy\ hh:mm"/>
    </dxf>
    <dxf>
      <font>
        <color rgb="FF000000"/>
      </font>
      <numFmt numFmtId="164" formatCode="d\ mmm\ yyyy\ hh:mm"/>
    </dxf>
    <dxf>
      <numFmt numFmtId="166" formatCode="&quot;Yes&quot;;;&quot;No&quot;"/>
    </dxf>
    <dxf>
      <numFmt numFmtId="30" formatCode="@"/>
    </dxf>
    <dxf>
      <numFmt numFmtId="0" formatCode="General"/>
    </dxf>
    <dxf>
      <font>
        <b/>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protection locked="0" hidden="0"/>
    </dxf>
  </dxfs>
  <tableStyles count="0" defaultTableStyle="TableStyleMedium2" defaultPivotStyle="PivotStyleLight16"/>
  <colors>
    <mruColors>
      <color rgb="FFF3FFF3"/>
      <color rgb="FFCCFFCC"/>
      <color rgb="FF00ED19"/>
      <color rgb="FF0AE21F"/>
      <color rgb="FF42E31B"/>
      <color rgb="FF7AE51B"/>
      <color rgb="FFAEE319"/>
      <color rgb="FFDDF81F"/>
      <color rgb="FFF8EE1B"/>
      <color rgb="FFFBB7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2</xdr:col>
      <xdr:colOff>3175</xdr:colOff>
      <xdr:row>1</xdr:row>
      <xdr:rowOff>35144</xdr:rowOff>
    </xdr:from>
    <xdr:to>
      <xdr:col>3</xdr:col>
      <xdr:colOff>1524784</xdr:colOff>
      <xdr:row>2</xdr:row>
      <xdr:rowOff>195216</xdr:rowOff>
    </xdr:to>
    <xdr:pic macro="[0]!CreateReport">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2998107" y="282794"/>
          <a:ext cx="2372056" cy="371527"/>
        </a:xfrm>
        <a:prstGeom prst="rect">
          <a:avLst/>
        </a:prstGeom>
      </xdr:spPr>
    </xdr:pic>
    <xdr:clientData fPrintsWithSheet="0"/>
  </xdr:twoCellAnchor>
  <xdr:twoCellAnchor editAs="absolute">
    <xdr:from>
      <xdr:col>3</xdr:col>
      <xdr:colOff>1633857</xdr:colOff>
      <xdr:row>1</xdr:row>
      <xdr:rowOff>4760</xdr:rowOff>
    </xdr:from>
    <xdr:to>
      <xdr:col>5</xdr:col>
      <xdr:colOff>308446</xdr:colOff>
      <xdr:row>2</xdr:row>
      <xdr:rowOff>193407</xdr:rowOff>
    </xdr:to>
    <xdr:pic macro="[0]!EditSettings">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5462091" y="280985"/>
          <a:ext cx="1238423" cy="371527"/>
        </a:xfrm>
        <a:prstGeom prst="rect">
          <a:avLst/>
        </a:prstGeom>
      </xdr:spPr>
    </xdr:pic>
    <xdr:clientData fPrintsWithSheet="0"/>
  </xdr:twoCellAnchor>
  <xdr:twoCellAnchor editAs="absolute">
    <xdr:from>
      <xdr:col>5</xdr:col>
      <xdr:colOff>414497</xdr:colOff>
      <xdr:row>1</xdr:row>
      <xdr:rowOff>3810</xdr:rowOff>
    </xdr:from>
    <xdr:to>
      <xdr:col>5</xdr:col>
      <xdr:colOff>2014920</xdr:colOff>
      <xdr:row>2</xdr:row>
      <xdr:rowOff>194363</xdr:rowOff>
    </xdr:to>
    <xdr:pic macro="[0]!CleanAndShrink">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800850" y="276225"/>
          <a:ext cx="1600423" cy="381053"/>
        </a:xfrm>
        <a:prstGeom prst="rect">
          <a:avLst/>
        </a:prstGeom>
      </xdr:spPr>
    </xdr:pic>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MainReport" displayName="MainReport" ref="A4:BI85" totalsRowShown="0" headerRowDxfId="47" dataDxfId="46">
  <autoFilter ref="A4:BI85" xr:uid="{00000000-0009-0000-0100-000003000000}"/>
  <tableColumns count="61">
    <tableColumn id="1" xr3:uid="{00000000-0010-0000-0000-000001000000}" name="sis_course_code" dataDxfId="45"/>
    <tableColumn id="4" xr3:uid="{00000000-0010-0000-0000-000004000000}" name="course_code" dataCellStyle="Hyperlink"/>
    <tableColumn id="5" xr3:uid="{00000000-0010-0000-0000-000005000000}" name="workflow_state"/>
    <tableColumn id="6" xr3:uid="{00000000-0010-0000-0000-000006000000}" name="course_name" dataCellStyle="Hyperlink"/>
    <tableColumn id="7" xr3:uid="{00000000-0010-0000-0000-000007000000}" name="ass. id"/>
    <tableColumn id="8" xr3:uid="{00000000-0010-0000-0000-000008000000}" name="assignment_name" dataCellStyle="Hyperlink"/>
    <tableColumn id="42" xr3:uid="{00000000-0010-0000-0000-00002A000000}" name="published" dataDxfId="44"/>
    <tableColumn id="37" xr3:uid="{00000000-0010-0000-0000-000025000000}" name="points_possible"/>
    <tableColumn id="9" xr3:uid="{00000000-0010-0000-0000-000009000000}" name="description"/>
    <tableColumn id="12" xr3:uid="{00000000-0010-0000-0000-00000C000000}" name="due_at" dataDxfId="43"/>
    <tableColumn id="13" xr3:uid="{00000000-0010-0000-0000-00000D000000}" name="lock_at" dataDxfId="42"/>
    <tableColumn id="14" xr3:uid="{00000000-0010-0000-0000-00000E000000}" name="unlock_at" dataDxfId="41"/>
    <tableColumn id="38" xr3:uid="{00000000-0010-0000-0000-000026000000}" name="submission_types" dataDxfId="10">
      <calculatedColumnFormula>{"online_text_entry","online_url","online_upload"}</calculatedColumnFormula>
    </tableColumn>
    <tableColumn id="40" xr3:uid="{00000000-0010-0000-0000-000028000000}" name="grading_type" dataDxfId="40"/>
    <tableColumn id="30" xr3:uid="{00000000-0010-0000-0000-00001E000000}" name="group_category_id" dataDxfId="39"/>
    <tableColumn id="15" xr3:uid="{00000000-0010-0000-0000-00000F000000}" name="has_overrides" dataDxfId="38"/>
    <tableColumn id="16" xr3:uid="{00000000-0010-0000-0000-000010000000}" name="course_id"/>
    <tableColumn id="10" xr3:uid="{00000000-0010-0000-0000-00000A000000}" name="created_at" dataDxfId="37"/>
    <tableColumn id="11" xr3:uid="{00000000-0010-0000-0000-00000B000000}" name="updated_at" dataDxfId="36"/>
    <tableColumn id="17" xr3:uid="{00000000-0010-0000-0000-000011000000}" name="html_url" dataCellStyle="Hyperlink"/>
    <tableColumn id="18" xr3:uid="{00000000-0010-0000-0000-000012000000}" name="submissions_download_url" dataCellStyle="Hyperlink"/>
    <tableColumn id="19" xr3:uid="{00000000-0010-0000-0000-000013000000}" name="assignment_group_id" dataDxfId="35"/>
    <tableColumn id="20" xr3:uid="{00000000-0010-0000-0000-000014000000}" name="due_date_required" dataDxfId="34"/>
    <tableColumn id="21" xr3:uid="{00000000-0010-0000-0000-000015000000}" name="max_name_length"/>
    <tableColumn id="22" xr3:uid="{00000000-0010-0000-0000-000016000000}" name="turnitin_enabled" dataDxfId="33"/>
    <tableColumn id="23" xr3:uid="{00000000-0010-0000-0000-000017000000}" name="vericite_enabled" dataDxfId="32"/>
    <tableColumn id="24" xr3:uid="{00000000-0010-0000-0000-000018000000}" name="grade_group_students_individually" dataDxfId="31"/>
    <tableColumn id="25" xr3:uid="{00000000-0010-0000-0000-000019000000}" name="peer_reviews" dataDxfId="30"/>
    <tableColumn id="26" xr3:uid="{00000000-0010-0000-0000-00001A000000}" name="automatic_peer_reviews" dataDxfId="29"/>
    <tableColumn id="27" xr3:uid="{00000000-0010-0000-0000-00001B000000}" name="peer_review_count"/>
    <tableColumn id="28" xr3:uid="{00000000-0010-0000-0000-00001C000000}" name="peer_reviews_assign_at" dataDxfId="28"/>
    <tableColumn id="29" xr3:uid="{00000000-0010-0000-0000-00001D000000}" name="intra_group_peer_reviews" dataDxfId="27"/>
    <tableColumn id="31" xr3:uid="{00000000-0010-0000-0000-00001F000000}" name="needs_grading_count"/>
    <tableColumn id="32" xr3:uid="{00000000-0010-0000-0000-000020000000}" name="position"/>
    <tableColumn id="33" xr3:uid="{00000000-0010-0000-0000-000021000000}" name="post_to_sis" dataDxfId="26"/>
    <tableColumn id="34" xr3:uid="{00000000-0010-0000-0000-000022000000}" name="integration_id"/>
    <tableColumn id="35" xr3:uid="{00000000-0010-0000-0000-000023000000}" name="integration_data"/>
    <tableColumn id="36" xr3:uid="{00000000-0010-0000-0000-000024000000}" name="muted" dataDxfId="25"/>
    <tableColumn id="39" xr3:uid="{00000000-0010-0000-0000-000027000000}" name="has_submitted_submissions" dataDxfId="24"/>
    <tableColumn id="41" xr3:uid="{00000000-0010-0000-0000-000029000000}" name="grading_standard_id"/>
    <tableColumn id="43" xr3:uid="{00000000-0010-0000-0000-00002B000000}" name="unpublishable" dataDxfId="23"/>
    <tableColumn id="44" xr3:uid="{00000000-0010-0000-0000-00002C000000}" name="only_visible_to_overrides" dataDxfId="22"/>
    <tableColumn id="45" xr3:uid="{00000000-0010-0000-0000-00002D000000}" name="locked_for_user" dataDxfId="21"/>
    <tableColumn id="46" xr3:uid="{00000000-0010-0000-0000-00002E000000}" name="lock_explanation"/>
    <tableColumn id="47" xr3:uid="{00000000-0010-0000-0000-00002F000000}" name="quiz_id"/>
    <tableColumn id="48" xr3:uid="{00000000-0010-0000-0000-000030000000}" name="anonymous_submissions" dataDxfId="20"/>
    <tableColumn id="49" xr3:uid="{00000000-0010-0000-0000-000031000000}" name="freeze_on_copy" dataDxfId="19"/>
    <tableColumn id="50" xr3:uid="{00000000-0010-0000-0000-000032000000}" name="frozen" dataDxfId="18"/>
    <tableColumn id="51" xr3:uid="{00000000-0010-0000-0000-000033000000}" name="frozen_attributes"/>
    <tableColumn id="52" xr3:uid="{00000000-0010-0000-0000-000034000000}" name="use_rubric_for_grading" dataDxfId="17"/>
    <tableColumn id="53" xr3:uid="{00000000-0010-0000-0000-000035000000}" name="rubric_settings"/>
    <tableColumn id="54" xr3:uid="{00000000-0010-0000-0000-000036000000}" name="rubric"/>
    <tableColumn id="55" xr3:uid="{00000000-0010-0000-0000-000037000000}" name="omit_from_final_grade" dataDxfId="16"/>
    <tableColumn id="56" xr3:uid="{00000000-0010-0000-0000-000038000000}" name="moderated_grading" dataDxfId="15"/>
    <tableColumn id="57" xr3:uid="{00000000-0010-0000-0000-000039000000}" name="grader_count"/>
    <tableColumn id="58" xr3:uid="{00000000-0010-0000-0000-00003A000000}" name="final_grader_id"/>
    <tableColumn id="59" xr3:uid="{00000000-0010-0000-0000-00003B000000}" name="grader_comments_visible_to_graders" dataDxfId="14"/>
    <tableColumn id="60" xr3:uid="{00000000-0010-0000-0000-00003C000000}" name="graders_anonymous_to_graders" dataDxfId="13"/>
    <tableColumn id="61" xr3:uid="{00000000-0010-0000-0000-00003D000000}" name="grader_names_visible_to_final_grader" dataDxfId="12"/>
    <tableColumn id="62" xr3:uid="{00000000-0010-0000-0000-00003E000000}" name="anonymous_grading" dataDxfId="11"/>
    <tableColumn id="63" xr3:uid="{00000000-0010-0000-0000-00003F000000}" name="allowed_attempts"/>
  </tableColumns>
  <tableStyleInfo name="TableStyleLight9"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17" Type="http://schemas.openxmlformats.org/officeDocument/2006/relationships/hyperlink" Target="https://lms.pps.net/courses/80430/assignments" TargetMode="External"/><Relationship Id="rId299" Type="http://schemas.openxmlformats.org/officeDocument/2006/relationships/hyperlink" Target="https://lms.pps.net/courses/80436/assignments/734807" TargetMode="External"/><Relationship Id="rId21" Type="http://schemas.openxmlformats.org/officeDocument/2006/relationships/hyperlink" Target="https://lms.pps.net/courses/64513" TargetMode="External"/><Relationship Id="rId63" Type="http://schemas.openxmlformats.org/officeDocument/2006/relationships/hyperlink" Target="https://lms.pps.net/courses/64513/assignments/744180" TargetMode="External"/><Relationship Id="rId159" Type="http://schemas.openxmlformats.org/officeDocument/2006/relationships/hyperlink" Target="https://lms.pps.net/courses/64302/assignments/730554" TargetMode="External"/><Relationship Id="rId324" Type="http://schemas.openxmlformats.org/officeDocument/2006/relationships/hyperlink" Target="https://lms.pps.net/courses/80436/assignments/773621" TargetMode="External"/><Relationship Id="rId366" Type="http://schemas.openxmlformats.org/officeDocument/2006/relationships/hyperlink" Target="https://lms.pps.net/courses/80436" TargetMode="External"/><Relationship Id="rId170" Type="http://schemas.openxmlformats.org/officeDocument/2006/relationships/hyperlink" Target="https://lms.pps.net/courses/64302/assignments/729512/submissions?zip=1" TargetMode="External"/><Relationship Id="rId226" Type="http://schemas.openxmlformats.org/officeDocument/2006/relationships/hyperlink" Target="https://lms.pps.net/courses/64302" TargetMode="External"/><Relationship Id="rId268" Type="http://schemas.openxmlformats.org/officeDocument/2006/relationships/hyperlink" Target="https://lms.pps.net/courses/64302/assignments/772747" TargetMode="External"/><Relationship Id="rId32" Type="http://schemas.openxmlformats.org/officeDocument/2006/relationships/hyperlink" Target="https://lms.pps.net/courses/64513/assignments" TargetMode="External"/><Relationship Id="rId74" Type="http://schemas.openxmlformats.org/officeDocument/2006/relationships/hyperlink" Target="https://lms.pps.net/courses/64513/assignments/747092" TargetMode="External"/><Relationship Id="rId128" Type="http://schemas.openxmlformats.org/officeDocument/2006/relationships/hyperlink" Target="https://lms.pps.net/courses/80434/assignments/723365" TargetMode="External"/><Relationship Id="rId335" Type="http://schemas.openxmlformats.org/officeDocument/2006/relationships/hyperlink" Target="https://lms.pps.net/courses/80436/assignments/743436/submissions?zip=1" TargetMode="External"/><Relationship Id="rId377" Type="http://schemas.openxmlformats.org/officeDocument/2006/relationships/hyperlink" Target="https://lms.pps.net/courses/80436/assignments" TargetMode="External"/><Relationship Id="rId5" Type="http://schemas.openxmlformats.org/officeDocument/2006/relationships/hyperlink" Target="https://lms.pps.net/courses/64513/assignments/766378/submissions?zip=1" TargetMode="External"/><Relationship Id="rId181" Type="http://schemas.openxmlformats.org/officeDocument/2006/relationships/hyperlink" Target="https://lms.pps.net/courses/64302" TargetMode="External"/><Relationship Id="rId237" Type="http://schemas.openxmlformats.org/officeDocument/2006/relationships/hyperlink" Target="https://lms.pps.net/courses/64302/assignments" TargetMode="External"/><Relationship Id="rId402" Type="http://schemas.openxmlformats.org/officeDocument/2006/relationships/hyperlink" Target="https://lms.pps.net/courses/80436/assignments" TargetMode="External"/><Relationship Id="rId279" Type="http://schemas.openxmlformats.org/officeDocument/2006/relationships/hyperlink" Target="https://lms.pps.net/courses/80436/assignments/727078" TargetMode="External"/><Relationship Id="rId43" Type="http://schemas.openxmlformats.org/officeDocument/2006/relationships/hyperlink" Target="https://lms.pps.net/courses/64513/assignments/733064" TargetMode="External"/><Relationship Id="rId139" Type="http://schemas.openxmlformats.org/officeDocument/2006/relationships/hyperlink" Target="https://lms.pps.net/courses/80434/assignments/788510" TargetMode="External"/><Relationship Id="rId290" Type="http://schemas.openxmlformats.org/officeDocument/2006/relationships/hyperlink" Target="https://lms.pps.net/courses/80436/assignments/729666/submissions?zip=1" TargetMode="External"/><Relationship Id="rId304" Type="http://schemas.openxmlformats.org/officeDocument/2006/relationships/hyperlink" Target="https://lms.pps.net/courses/80436/assignments/734808" TargetMode="External"/><Relationship Id="rId346" Type="http://schemas.openxmlformats.org/officeDocument/2006/relationships/hyperlink" Target="https://lms.pps.net/courses/80436" TargetMode="External"/><Relationship Id="rId388" Type="http://schemas.openxmlformats.org/officeDocument/2006/relationships/hyperlink" Target="https://lms.pps.net/courses/80436/assignments/772750" TargetMode="External"/><Relationship Id="rId85" Type="http://schemas.openxmlformats.org/officeDocument/2006/relationships/hyperlink" Target="https://lms.pps.net/courses/64513/assignments/759372/submissions?zip=1" TargetMode="External"/><Relationship Id="rId150" Type="http://schemas.openxmlformats.org/officeDocument/2006/relationships/hyperlink" Target="https://lms.pps.net/courses/64302/assignments/727072/submissions?zip=1" TargetMode="External"/><Relationship Id="rId192" Type="http://schemas.openxmlformats.org/officeDocument/2006/relationships/hyperlink" Target="https://lms.pps.net/courses/64302/assignments" TargetMode="External"/><Relationship Id="rId206" Type="http://schemas.openxmlformats.org/officeDocument/2006/relationships/hyperlink" Target="https://lms.pps.net/courses/64302" TargetMode="External"/><Relationship Id="rId248" Type="http://schemas.openxmlformats.org/officeDocument/2006/relationships/hyperlink" Target="https://lms.pps.net/courses/64302/assignments/748550" TargetMode="External"/><Relationship Id="rId12" Type="http://schemas.openxmlformats.org/officeDocument/2006/relationships/hyperlink" Target="https://lms.pps.net/courses/64513/assignments" TargetMode="External"/><Relationship Id="rId108" Type="http://schemas.openxmlformats.org/officeDocument/2006/relationships/hyperlink" Target="https://lms.pps.net/courses/80430/assignments/723324" TargetMode="External"/><Relationship Id="rId315" Type="http://schemas.openxmlformats.org/officeDocument/2006/relationships/hyperlink" Target="https://lms.pps.net/courses/80436/assignments/746291/submissions?zip=1" TargetMode="External"/><Relationship Id="rId357" Type="http://schemas.openxmlformats.org/officeDocument/2006/relationships/hyperlink" Target="https://lms.pps.net/courses/80436/assignments" TargetMode="External"/><Relationship Id="rId54" Type="http://schemas.openxmlformats.org/officeDocument/2006/relationships/hyperlink" Target="https://lms.pps.net/courses/64513/assignments/738702" TargetMode="External"/><Relationship Id="rId96" Type="http://schemas.openxmlformats.org/officeDocument/2006/relationships/hyperlink" Target="https://lms.pps.net/courses/64513" TargetMode="External"/><Relationship Id="rId161" Type="http://schemas.openxmlformats.org/officeDocument/2006/relationships/hyperlink" Target="https://lms.pps.net/courses/64302" TargetMode="External"/><Relationship Id="rId217" Type="http://schemas.openxmlformats.org/officeDocument/2006/relationships/hyperlink" Target="https://lms.pps.net/courses/64302/assignments" TargetMode="External"/><Relationship Id="rId399" Type="http://schemas.openxmlformats.org/officeDocument/2006/relationships/hyperlink" Target="https://lms.pps.net/courses/80436/assignments/778720" TargetMode="External"/><Relationship Id="rId259" Type="http://schemas.openxmlformats.org/officeDocument/2006/relationships/hyperlink" Target="https://lms.pps.net/courses/64302/assignments/772745" TargetMode="External"/><Relationship Id="rId23" Type="http://schemas.openxmlformats.org/officeDocument/2006/relationships/hyperlink" Target="https://lms.pps.net/courses/64513/assignments/730070" TargetMode="External"/><Relationship Id="rId119" Type="http://schemas.openxmlformats.org/officeDocument/2006/relationships/hyperlink" Target="https://lms.pps.net/courses/80430/assignments/788450" TargetMode="External"/><Relationship Id="rId270" Type="http://schemas.openxmlformats.org/officeDocument/2006/relationships/hyperlink" Target="https://lms.pps.net/courses/64302/assignments/772747/submissions?zip=1" TargetMode="External"/><Relationship Id="rId326" Type="http://schemas.openxmlformats.org/officeDocument/2006/relationships/hyperlink" Target="https://lms.pps.net/courses/80436" TargetMode="External"/><Relationship Id="rId65" Type="http://schemas.openxmlformats.org/officeDocument/2006/relationships/hyperlink" Target="https://lms.pps.net/courses/64513/assignments/744180/submissions?zip=1" TargetMode="External"/><Relationship Id="rId130" Type="http://schemas.openxmlformats.org/officeDocument/2006/relationships/hyperlink" Target="https://lms.pps.net/courses/80434/assignments/723365/submissions?zip=1" TargetMode="External"/><Relationship Id="rId368" Type="http://schemas.openxmlformats.org/officeDocument/2006/relationships/hyperlink" Target="https://lms.pps.net/courses/80436/assignments/748574" TargetMode="External"/><Relationship Id="rId172" Type="http://schemas.openxmlformats.org/officeDocument/2006/relationships/hyperlink" Target="https://lms.pps.net/courses/64302/assignments" TargetMode="External"/><Relationship Id="rId228" Type="http://schemas.openxmlformats.org/officeDocument/2006/relationships/hyperlink" Target="https://lms.pps.net/courses/64302/assignments/748546" TargetMode="External"/><Relationship Id="rId281" Type="http://schemas.openxmlformats.org/officeDocument/2006/relationships/hyperlink" Target="https://lms.pps.net/courses/80436" TargetMode="External"/><Relationship Id="rId337" Type="http://schemas.openxmlformats.org/officeDocument/2006/relationships/hyperlink" Target="https://lms.pps.net/courses/80436/assignments" TargetMode="External"/><Relationship Id="rId34" Type="http://schemas.openxmlformats.org/officeDocument/2006/relationships/hyperlink" Target="https://lms.pps.net/courses/64513/assignments/732130" TargetMode="External"/><Relationship Id="rId76" Type="http://schemas.openxmlformats.org/officeDocument/2006/relationships/hyperlink" Target="https://lms.pps.net/courses/64513" TargetMode="External"/><Relationship Id="rId141" Type="http://schemas.openxmlformats.org/officeDocument/2006/relationships/hyperlink" Target="https://lms.pps.net/courses/80434" TargetMode="External"/><Relationship Id="rId379" Type="http://schemas.openxmlformats.org/officeDocument/2006/relationships/hyperlink" Target="https://lms.pps.net/courses/80436/assignments/786655" TargetMode="External"/><Relationship Id="rId7" Type="http://schemas.openxmlformats.org/officeDocument/2006/relationships/hyperlink" Target="https://lms.pps.net/courses/64513/assignments" TargetMode="External"/><Relationship Id="rId183" Type="http://schemas.openxmlformats.org/officeDocument/2006/relationships/hyperlink" Target="https://lms.pps.net/courses/64302/assignments/729518" TargetMode="External"/><Relationship Id="rId239" Type="http://schemas.openxmlformats.org/officeDocument/2006/relationships/hyperlink" Target="https://lms.pps.net/courses/64302/assignments/748548" TargetMode="External"/><Relationship Id="rId390" Type="http://schemas.openxmlformats.org/officeDocument/2006/relationships/hyperlink" Target="https://lms.pps.net/courses/80436/assignments/772750/submissions?zip=1" TargetMode="External"/><Relationship Id="rId404" Type="http://schemas.openxmlformats.org/officeDocument/2006/relationships/hyperlink" Target="https://lms.pps.net/courses/80436/assignments/792409" TargetMode="External"/><Relationship Id="rId250" Type="http://schemas.openxmlformats.org/officeDocument/2006/relationships/hyperlink" Target="https://lms.pps.net/courses/64302/assignments/748550/submissions?zip=1" TargetMode="External"/><Relationship Id="rId292" Type="http://schemas.openxmlformats.org/officeDocument/2006/relationships/hyperlink" Target="https://lms.pps.net/courses/80436/assignments" TargetMode="External"/><Relationship Id="rId306" Type="http://schemas.openxmlformats.org/officeDocument/2006/relationships/hyperlink" Target="https://lms.pps.net/courses/80436" TargetMode="External"/><Relationship Id="rId45" Type="http://schemas.openxmlformats.org/officeDocument/2006/relationships/hyperlink" Target="https://lms.pps.net/courses/64513/assignments/733064/submissions?zip=1" TargetMode="External"/><Relationship Id="rId87" Type="http://schemas.openxmlformats.org/officeDocument/2006/relationships/hyperlink" Target="https://lms.pps.net/courses/64513/assignments" TargetMode="External"/><Relationship Id="rId110" Type="http://schemas.openxmlformats.org/officeDocument/2006/relationships/hyperlink" Target="https://lms.pps.net/courses/80430/assignments/723324/submissions?zip=1" TargetMode="External"/><Relationship Id="rId348" Type="http://schemas.openxmlformats.org/officeDocument/2006/relationships/hyperlink" Target="https://lms.pps.net/courses/80436/assignments/748570" TargetMode="External"/><Relationship Id="rId152" Type="http://schemas.openxmlformats.org/officeDocument/2006/relationships/hyperlink" Target="https://lms.pps.net/courses/64302/assignments" TargetMode="External"/><Relationship Id="rId194" Type="http://schemas.openxmlformats.org/officeDocument/2006/relationships/hyperlink" Target="https://lms.pps.net/courses/64302/assignments/773614" TargetMode="External"/><Relationship Id="rId208" Type="http://schemas.openxmlformats.org/officeDocument/2006/relationships/hyperlink" Target="https://lms.pps.net/courses/64302/assignments/742529" TargetMode="External"/><Relationship Id="rId261" Type="http://schemas.openxmlformats.org/officeDocument/2006/relationships/hyperlink" Target="https://lms.pps.net/courses/64302" TargetMode="External"/><Relationship Id="rId14" Type="http://schemas.openxmlformats.org/officeDocument/2006/relationships/hyperlink" Target="https://lms.pps.net/courses/64513/assignments/723381" TargetMode="External"/><Relationship Id="rId56" Type="http://schemas.openxmlformats.org/officeDocument/2006/relationships/hyperlink" Target="https://lms.pps.net/courses/64513" TargetMode="External"/><Relationship Id="rId317" Type="http://schemas.openxmlformats.org/officeDocument/2006/relationships/hyperlink" Target="https://lms.pps.net/courses/80436/assignments" TargetMode="External"/><Relationship Id="rId359" Type="http://schemas.openxmlformats.org/officeDocument/2006/relationships/hyperlink" Target="https://lms.pps.net/courses/80436/assignments/748572" TargetMode="External"/><Relationship Id="rId98" Type="http://schemas.openxmlformats.org/officeDocument/2006/relationships/hyperlink" Target="https://lms.pps.net/courses/64513/assignments/786320" TargetMode="External"/><Relationship Id="rId121" Type="http://schemas.openxmlformats.org/officeDocument/2006/relationships/hyperlink" Target="https://lms.pps.net/courses/80430" TargetMode="External"/><Relationship Id="rId163" Type="http://schemas.openxmlformats.org/officeDocument/2006/relationships/hyperlink" Target="https://lms.pps.net/courses/64302/assignments/729515" TargetMode="External"/><Relationship Id="rId219" Type="http://schemas.openxmlformats.org/officeDocument/2006/relationships/hyperlink" Target="https://lms.pps.net/courses/64302/assignments/742531" TargetMode="External"/><Relationship Id="rId370" Type="http://schemas.openxmlformats.org/officeDocument/2006/relationships/hyperlink" Target="https://lms.pps.net/courses/80436/assignments/748574/submissions?zip=1" TargetMode="External"/><Relationship Id="rId230" Type="http://schemas.openxmlformats.org/officeDocument/2006/relationships/hyperlink" Target="https://lms.pps.net/courses/64302/assignments/748546/submissions?zip=1" TargetMode="External"/><Relationship Id="rId25" Type="http://schemas.openxmlformats.org/officeDocument/2006/relationships/hyperlink" Target="https://lms.pps.net/courses/64513/assignments/730070/submissions?zip=1" TargetMode="External"/><Relationship Id="rId67" Type="http://schemas.openxmlformats.org/officeDocument/2006/relationships/hyperlink" Target="https://lms.pps.net/courses/64513/assignments" TargetMode="External"/><Relationship Id="rId272" Type="http://schemas.openxmlformats.org/officeDocument/2006/relationships/hyperlink" Target="https://lms.pps.net/courses/64302/assignments" TargetMode="External"/><Relationship Id="rId328" Type="http://schemas.openxmlformats.org/officeDocument/2006/relationships/hyperlink" Target="https://lms.pps.net/courses/80436/assignments/743435" TargetMode="External"/><Relationship Id="rId132" Type="http://schemas.openxmlformats.org/officeDocument/2006/relationships/hyperlink" Target="https://lms.pps.net/courses/80434/assignments" TargetMode="External"/><Relationship Id="rId174" Type="http://schemas.openxmlformats.org/officeDocument/2006/relationships/hyperlink" Target="https://lms.pps.net/courses/64302/assignments/729516" TargetMode="External"/><Relationship Id="rId381" Type="http://schemas.openxmlformats.org/officeDocument/2006/relationships/hyperlink" Target="https://lms.pps.net/courses/80436" TargetMode="External"/><Relationship Id="rId241" Type="http://schemas.openxmlformats.org/officeDocument/2006/relationships/hyperlink" Target="https://lms.pps.net/courses/64302" TargetMode="External"/><Relationship Id="rId36" Type="http://schemas.openxmlformats.org/officeDocument/2006/relationships/hyperlink" Target="https://lms.pps.net/courses/64513" TargetMode="External"/><Relationship Id="rId283" Type="http://schemas.openxmlformats.org/officeDocument/2006/relationships/hyperlink" Target="https://lms.pps.net/courses/80436/assignments/730568" TargetMode="External"/><Relationship Id="rId339" Type="http://schemas.openxmlformats.org/officeDocument/2006/relationships/hyperlink" Target="https://lms.pps.net/courses/80436/assignments/743437" TargetMode="External"/><Relationship Id="rId78" Type="http://schemas.openxmlformats.org/officeDocument/2006/relationships/hyperlink" Target="https://lms.pps.net/courses/64513/assignments/748789" TargetMode="External"/><Relationship Id="rId101" Type="http://schemas.openxmlformats.org/officeDocument/2006/relationships/hyperlink" Target="https://lms.pps.net/courses/64513" TargetMode="External"/><Relationship Id="rId143" Type="http://schemas.openxmlformats.org/officeDocument/2006/relationships/hyperlink" Target="https://lms.pps.net/courses/80434/assignments/788509" TargetMode="External"/><Relationship Id="rId185" Type="http://schemas.openxmlformats.org/officeDocument/2006/relationships/hyperlink" Target="https://lms.pps.net/courses/64302/assignments/729518/submissions?zip=1" TargetMode="External"/><Relationship Id="rId350" Type="http://schemas.openxmlformats.org/officeDocument/2006/relationships/hyperlink" Target="https://lms.pps.net/courses/80436/assignments/748570/submissions?zip=1" TargetMode="External"/><Relationship Id="rId406" Type="http://schemas.openxmlformats.org/officeDocument/2006/relationships/printerSettings" Target="../printerSettings/printerSettings1.bin"/><Relationship Id="rId9" Type="http://schemas.openxmlformats.org/officeDocument/2006/relationships/hyperlink" Target="https://lms.pps.net/courses/64513/assignments/707573" TargetMode="External"/><Relationship Id="rId210" Type="http://schemas.openxmlformats.org/officeDocument/2006/relationships/hyperlink" Target="https://lms.pps.net/courses/64302/assignments/742529/submissions?zip=1" TargetMode="External"/><Relationship Id="rId392" Type="http://schemas.openxmlformats.org/officeDocument/2006/relationships/hyperlink" Target="https://lms.pps.net/courses/80436/assignments" TargetMode="External"/><Relationship Id="rId252" Type="http://schemas.openxmlformats.org/officeDocument/2006/relationships/hyperlink" Target="https://lms.pps.net/courses/64302/assignments" TargetMode="External"/><Relationship Id="rId294" Type="http://schemas.openxmlformats.org/officeDocument/2006/relationships/hyperlink" Target="https://lms.pps.net/courses/80436/assignments/734806" TargetMode="External"/><Relationship Id="rId308" Type="http://schemas.openxmlformats.org/officeDocument/2006/relationships/hyperlink" Target="https://lms.pps.net/courses/80436/assignments/746290" TargetMode="External"/><Relationship Id="rId47" Type="http://schemas.openxmlformats.org/officeDocument/2006/relationships/hyperlink" Target="https://lms.pps.net/courses/64513/assignments" TargetMode="External"/><Relationship Id="rId89" Type="http://schemas.openxmlformats.org/officeDocument/2006/relationships/hyperlink" Target="https://lms.pps.net/courses/64513/assignments/774011" TargetMode="External"/><Relationship Id="rId112" Type="http://schemas.openxmlformats.org/officeDocument/2006/relationships/hyperlink" Target="https://lms.pps.net/courses/80430/assignments" TargetMode="External"/><Relationship Id="rId154" Type="http://schemas.openxmlformats.org/officeDocument/2006/relationships/hyperlink" Target="https://lms.pps.net/courses/64302/assignments/729519" TargetMode="External"/><Relationship Id="rId361" Type="http://schemas.openxmlformats.org/officeDocument/2006/relationships/hyperlink" Target="https://lms.pps.net/courses/80436" TargetMode="External"/><Relationship Id="rId196" Type="http://schemas.openxmlformats.org/officeDocument/2006/relationships/hyperlink" Target="https://lms.pps.net/courses/64302" TargetMode="External"/><Relationship Id="rId16" Type="http://schemas.openxmlformats.org/officeDocument/2006/relationships/hyperlink" Target="https://lms.pps.net/courses/64513" TargetMode="External"/><Relationship Id="rId221" Type="http://schemas.openxmlformats.org/officeDocument/2006/relationships/hyperlink" Target="https://lms.pps.net/courses/64302" TargetMode="External"/><Relationship Id="rId263" Type="http://schemas.openxmlformats.org/officeDocument/2006/relationships/hyperlink" Target="https://lms.pps.net/courses/64302/assignments/772746" TargetMode="External"/><Relationship Id="rId319" Type="http://schemas.openxmlformats.org/officeDocument/2006/relationships/hyperlink" Target="https://lms.pps.net/courses/80436/assignments/746292" TargetMode="External"/><Relationship Id="rId58" Type="http://schemas.openxmlformats.org/officeDocument/2006/relationships/hyperlink" Target="https://lms.pps.net/courses/64513/assignments/741223" TargetMode="External"/><Relationship Id="rId123" Type="http://schemas.openxmlformats.org/officeDocument/2006/relationships/hyperlink" Target="https://lms.pps.net/courses/80430/assignments/788508" TargetMode="External"/><Relationship Id="rId330" Type="http://schemas.openxmlformats.org/officeDocument/2006/relationships/hyperlink" Target="https://lms.pps.net/courses/80436/assignments/743435/submissions?zip=1" TargetMode="External"/><Relationship Id="rId165" Type="http://schemas.openxmlformats.org/officeDocument/2006/relationships/hyperlink" Target="https://lms.pps.net/courses/64302/assignments/729515/submissions?zip=1" TargetMode="External"/><Relationship Id="rId372" Type="http://schemas.openxmlformats.org/officeDocument/2006/relationships/hyperlink" Target="https://lms.pps.net/courses/80436/assignments" TargetMode="External"/><Relationship Id="rId232" Type="http://schemas.openxmlformats.org/officeDocument/2006/relationships/hyperlink" Target="https://lms.pps.net/courses/64302/assignments" TargetMode="External"/><Relationship Id="rId274" Type="http://schemas.openxmlformats.org/officeDocument/2006/relationships/hyperlink" Target="https://lms.pps.net/courses/64302/assignments/778719" TargetMode="External"/><Relationship Id="rId27" Type="http://schemas.openxmlformats.org/officeDocument/2006/relationships/hyperlink" Target="https://lms.pps.net/courses/64513/assignments" TargetMode="External"/><Relationship Id="rId48" Type="http://schemas.openxmlformats.org/officeDocument/2006/relationships/hyperlink" Target="https://lms.pps.net/courses/64513/assignments/734358" TargetMode="External"/><Relationship Id="rId69" Type="http://schemas.openxmlformats.org/officeDocument/2006/relationships/hyperlink" Target="https://lms.pps.net/courses/64513/assignments/747038" TargetMode="External"/><Relationship Id="rId113" Type="http://schemas.openxmlformats.org/officeDocument/2006/relationships/hyperlink" Target="https://lms.pps.net/courses/80430/assignments/740975" TargetMode="External"/><Relationship Id="rId134" Type="http://schemas.openxmlformats.org/officeDocument/2006/relationships/hyperlink" Target="https://lms.pps.net/courses/80434/assignments/740989" TargetMode="External"/><Relationship Id="rId320" Type="http://schemas.openxmlformats.org/officeDocument/2006/relationships/hyperlink" Target="https://lms.pps.net/courses/80436/assignments/746292/submissions?zip=1" TargetMode="External"/><Relationship Id="rId80" Type="http://schemas.openxmlformats.org/officeDocument/2006/relationships/hyperlink" Target="https://lms.pps.net/courses/64513/assignments/748789/submissions?zip=1" TargetMode="External"/><Relationship Id="rId155" Type="http://schemas.openxmlformats.org/officeDocument/2006/relationships/hyperlink" Target="https://lms.pps.net/courses/64302/assignments/729519/submissions?zip=1" TargetMode="External"/><Relationship Id="rId176" Type="http://schemas.openxmlformats.org/officeDocument/2006/relationships/hyperlink" Target="https://lms.pps.net/courses/64302" TargetMode="External"/><Relationship Id="rId197" Type="http://schemas.openxmlformats.org/officeDocument/2006/relationships/hyperlink" Target="https://lms.pps.net/courses/64302/assignments" TargetMode="External"/><Relationship Id="rId341" Type="http://schemas.openxmlformats.org/officeDocument/2006/relationships/hyperlink" Target="https://lms.pps.net/courses/80436" TargetMode="External"/><Relationship Id="rId362" Type="http://schemas.openxmlformats.org/officeDocument/2006/relationships/hyperlink" Target="https://lms.pps.net/courses/80436/assignments" TargetMode="External"/><Relationship Id="rId383" Type="http://schemas.openxmlformats.org/officeDocument/2006/relationships/hyperlink" Target="https://lms.pps.net/courses/80436/assignments/772749" TargetMode="External"/><Relationship Id="rId201" Type="http://schemas.openxmlformats.org/officeDocument/2006/relationships/hyperlink" Target="https://lms.pps.net/courses/64302" TargetMode="External"/><Relationship Id="rId222" Type="http://schemas.openxmlformats.org/officeDocument/2006/relationships/hyperlink" Target="https://lms.pps.net/courses/64302/assignments" TargetMode="External"/><Relationship Id="rId243" Type="http://schemas.openxmlformats.org/officeDocument/2006/relationships/hyperlink" Target="https://lms.pps.net/courses/64302/assignments/748549" TargetMode="External"/><Relationship Id="rId264" Type="http://schemas.openxmlformats.org/officeDocument/2006/relationships/hyperlink" Target="https://lms.pps.net/courses/64302/assignments/772746" TargetMode="External"/><Relationship Id="rId285" Type="http://schemas.openxmlformats.org/officeDocument/2006/relationships/hyperlink" Target="https://lms.pps.net/courses/80436/assignments/730568/submissions?zip=1" TargetMode="External"/><Relationship Id="rId17" Type="http://schemas.openxmlformats.org/officeDocument/2006/relationships/hyperlink" Target="https://lms.pps.net/courses/64513/assignments" TargetMode="External"/><Relationship Id="rId38" Type="http://schemas.openxmlformats.org/officeDocument/2006/relationships/hyperlink" Target="https://lms.pps.net/courses/64513/assignments/732750" TargetMode="External"/><Relationship Id="rId59" Type="http://schemas.openxmlformats.org/officeDocument/2006/relationships/hyperlink" Target="https://lms.pps.net/courses/64513/assignments/741223" TargetMode="External"/><Relationship Id="rId103" Type="http://schemas.openxmlformats.org/officeDocument/2006/relationships/hyperlink" Target="https://lms.pps.net/courses/64513/assignments/786254" TargetMode="External"/><Relationship Id="rId124" Type="http://schemas.openxmlformats.org/officeDocument/2006/relationships/hyperlink" Target="https://lms.pps.net/courses/80430/assignments/788508" TargetMode="External"/><Relationship Id="rId310" Type="http://schemas.openxmlformats.org/officeDocument/2006/relationships/hyperlink" Target="https://lms.pps.net/courses/80436/assignments/746290/submissions?zip=1" TargetMode="External"/><Relationship Id="rId70" Type="http://schemas.openxmlformats.org/officeDocument/2006/relationships/hyperlink" Target="https://lms.pps.net/courses/64513/assignments/747038/submissions?zip=1" TargetMode="External"/><Relationship Id="rId91" Type="http://schemas.openxmlformats.org/officeDocument/2006/relationships/hyperlink" Target="https://lms.pps.net/courses/64513" TargetMode="External"/><Relationship Id="rId145" Type="http://schemas.openxmlformats.org/officeDocument/2006/relationships/hyperlink" Target="https://lms.pps.net/courses/80434/assignments/788509/submissions?zip=1" TargetMode="External"/><Relationship Id="rId166" Type="http://schemas.openxmlformats.org/officeDocument/2006/relationships/hyperlink" Target="https://lms.pps.net/courses/64302" TargetMode="External"/><Relationship Id="rId187" Type="http://schemas.openxmlformats.org/officeDocument/2006/relationships/hyperlink" Target="https://lms.pps.net/courses/64302/assignments" TargetMode="External"/><Relationship Id="rId331" Type="http://schemas.openxmlformats.org/officeDocument/2006/relationships/hyperlink" Target="https://lms.pps.net/courses/80436" TargetMode="External"/><Relationship Id="rId352" Type="http://schemas.openxmlformats.org/officeDocument/2006/relationships/hyperlink" Target="https://lms.pps.net/courses/80436/assignments" TargetMode="External"/><Relationship Id="rId373" Type="http://schemas.openxmlformats.org/officeDocument/2006/relationships/hyperlink" Target="https://lms.pps.net/courses/80436/assignments/772748" TargetMode="External"/><Relationship Id="rId394" Type="http://schemas.openxmlformats.org/officeDocument/2006/relationships/hyperlink" Target="https://lms.pps.net/courses/80436/assignments/772751" TargetMode="External"/><Relationship Id="rId408" Type="http://schemas.openxmlformats.org/officeDocument/2006/relationships/vmlDrawing" Target="../drawings/vmlDrawing1.vml"/><Relationship Id="rId1" Type="http://schemas.openxmlformats.org/officeDocument/2006/relationships/hyperlink" Target="https://lms.pps.net/courses/64513" TargetMode="External"/><Relationship Id="rId212" Type="http://schemas.openxmlformats.org/officeDocument/2006/relationships/hyperlink" Target="https://lms.pps.net/courses/64302/assignments" TargetMode="External"/><Relationship Id="rId233" Type="http://schemas.openxmlformats.org/officeDocument/2006/relationships/hyperlink" Target="https://lms.pps.net/courses/64302/assignments/748547" TargetMode="External"/><Relationship Id="rId254" Type="http://schemas.openxmlformats.org/officeDocument/2006/relationships/hyperlink" Target="https://lms.pps.net/courses/64302/assignments/772744" TargetMode="External"/><Relationship Id="rId28" Type="http://schemas.openxmlformats.org/officeDocument/2006/relationships/hyperlink" Target="https://lms.pps.net/courses/64513/assignments/732124" TargetMode="External"/><Relationship Id="rId49" Type="http://schemas.openxmlformats.org/officeDocument/2006/relationships/hyperlink" Target="https://lms.pps.net/courses/64513/assignments/734358" TargetMode="External"/><Relationship Id="rId114" Type="http://schemas.openxmlformats.org/officeDocument/2006/relationships/hyperlink" Target="https://lms.pps.net/courses/80430/assignments/740975" TargetMode="External"/><Relationship Id="rId275" Type="http://schemas.openxmlformats.org/officeDocument/2006/relationships/hyperlink" Target="https://lms.pps.net/courses/64302/assignments/778719/submissions?zip=1" TargetMode="External"/><Relationship Id="rId296" Type="http://schemas.openxmlformats.org/officeDocument/2006/relationships/hyperlink" Target="https://lms.pps.net/courses/80436" TargetMode="External"/><Relationship Id="rId300" Type="http://schemas.openxmlformats.org/officeDocument/2006/relationships/hyperlink" Target="https://lms.pps.net/courses/80436/assignments/734807/submissions?zip=1" TargetMode="External"/><Relationship Id="rId60" Type="http://schemas.openxmlformats.org/officeDocument/2006/relationships/hyperlink" Target="https://lms.pps.net/courses/64513/assignments/741223/submissions?zip=1" TargetMode="External"/><Relationship Id="rId81" Type="http://schemas.openxmlformats.org/officeDocument/2006/relationships/hyperlink" Target="https://lms.pps.net/courses/64513" TargetMode="External"/><Relationship Id="rId135" Type="http://schemas.openxmlformats.org/officeDocument/2006/relationships/hyperlink" Target="https://lms.pps.net/courses/80434/assignments/740989/submissions?zip=1" TargetMode="External"/><Relationship Id="rId156" Type="http://schemas.openxmlformats.org/officeDocument/2006/relationships/hyperlink" Target="https://lms.pps.net/courses/64302" TargetMode="External"/><Relationship Id="rId177" Type="http://schemas.openxmlformats.org/officeDocument/2006/relationships/hyperlink" Target="https://lms.pps.net/courses/64302/assignments" TargetMode="External"/><Relationship Id="rId198" Type="http://schemas.openxmlformats.org/officeDocument/2006/relationships/hyperlink" Target="https://lms.pps.net/courses/64302/assignments/786652" TargetMode="External"/><Relationship Id="rId321" Type="http://schemas.openxmlformats.org/officeDocument/2006/relationships/hyperlink" Target="https://lms.pps.net/courses/80436" TargetMode="External"/><Relationship Id="rId342" Type="http://schemas.openxmlformats.org/officeDocument/2006/relationships/hyperlink" Target="https://lms.pps.net/courses/80436/assignments" TargetMode="External"/><Relationship Id="rId363" Type="http://schemas.openxmlformats.org/officeDocument/2006/relationships/hyperlink" Target="https://lms.pps.net/courses/80436/assignments/748573" TargetMode="External"/><Relationship Id="rId384" Type="http://schemas.openxmlformats.org/officeDocument/2006/relationships/hyperlink" Target="https://lms.pps.net/courses/80436/assignments/772749" TargetMode="External"/><Relationship Id="rId202" Type="http://schemas.openxmlformats.org/officeDocument/2006/relationships/hyperlink" Target="https://lms.pps.net/courses/64302/assignments" TargetMode="External"/><Relationship Id="rId223" Type="http://schemas.openxmlformats.org/officeDocument/2006/relationships/hyperlink" Target="https://lms.pps.net/courses/64302/assignments/742528" TargetMode="External"/><Relationship Id="rId244" Type="http://schemas.openxmlformats.org/officeDocument/2006/relationships/hyperlink" Target="https://lms.pps.net/courses/64302/assignments/748549" TargetMode="External"/><Relationship Id="rId18" Type="http://schemas.openxmlformats.org/officeDocument/2006/relationships/hyperlink" Target="https://lms.pps.net/courses/64513/assignments/730024" TargetMode="External"/><Relationship Id="rId39" Type="http://schemas.openxmlformats.org/officeDocument/2006/relationships/hyperlink" Target="https://lms.pps.net/courses/64513/assignments/732750" TargetMode="External"/><Relationship Id="rId265" Type="http://schemas.openxmlformats.org/officeDocument/2006/relationships/hyperlink" Target="https://lms.pps.net/courses/64302/assignments/772746/submissions?zip=1" TargetMode="External"/><Relationship Id="rId286" Type="http://schemas.openxmlformats.org/officeDocument/2006/relationships/hyperlink" Target="https://lms.pps.net/courses/80436" TargetMode="External"/><Relationship Id="rId50" Type="http://schemas.openxmlformats.org/officeDocument/2006/relationships/hyperlink" Target="https://lms.pps.net/courses/64513/assignments/734358/submissions?zip=1" TargetMode="External"/><Relationship Id="rId104" Type="http://schemas.openxmlformats.org/officeDocument/2006/relationships/hyperlink" Target="https://lms.pps.net/courses/64513/assignments/786254" TargetMode="External"/><Relationship Id="rId125" Type="http://schemas.openxmlformats.org/officeDocument/2006/relationships/hyperlink" Target="https://lms.pps.net/courses/80430/assignments/788508/submissions?zip=1" TargetMode="External"/><Relationship Id="rId146" Type="http://schemas.openxmlformats.org/officeDocument/2006/relationships/hyperlink" Target="https://lms.pps.net/courses/64302" TargetMode="External"/><Relationship Id="rId167" Type="http://schemas.openxmlformats.org/officeDocument/2006/relationships/hyperlink" Target="https://lms.pps.net/courses/64302/assignments" TargetMode="External"/><Relationship Id="rId188" Type="http://schemas.openxmlformats.org/officeDocument/2006/relationships/hyperlink" Target="https://lms.pps.net/courses/64302/assignments/729520" TargetMode="External"/><Relationship Id="rId311" Type="http://schemas.openxmlformats.org/officeDocument/2006/relationships/hyperlink" Target="https://lms.pps.net/courses/80436" TargetMode="External"/><Relationship Id="rId332" Type="http://schemas.openxmlformats.org/officeDocument/2006/relationships/hyperlink" Target="https://lms.pps.net/courses/80436/assignments" TargetMode="External"/><Relationship Id="rId353" Type="http://schemas.openxmlformats.org/officeDocument/2006/relationships/hyperlink" Target="https://lms.pps.net/courses/80436/assignments/748571" TargetMode="External"/><Relationship Id="rId374" Type="http://schemas.openxmlformats.org/officeDocument/2006/relationships/hyperlink" Target="https://lms.pps.net/courses/80436/assignments/772748" TargetMode="External"/><Relationship Id="rId395" Type="http://schemas.openxmlformats.org/officeDocument/2006/relationships/hyperlink" Target="https://lms.pps.net/courses/80436/assignments/772751/submissions?zip=1" TargetMode="External"/><Relationship Id="rId409" Type="http://schemas.openxmlformats.org/officeDocument/2006/relationships/table" Target="../tables/table1.xml"/><Relationship Id="rId71" Type="http://schemas.openxmlformats.org/officeDocument/2006/relationships/hyperlink" Target="https://lms.pps.net/courses/64513" TargetMode="External"/><Relationship Id="rId92" Type="http://schemas.openxmlformats.org/officeDocument/2006/relationships/hyperlink" Target="https://lms.pps.net/courses/64513/assignments" TargetMode="External"/><Relationship Id="rId213" Type="http://schemas.openxmlformats.org/officeDocument/2006/relationships/hyperlink" Target="https://lms.pps.net/courses/64302/assignments/742530" TargetMode="External"/><Relationship Id="rId234" Type="http://schemas.openxmlformats.org/officeDocument/2006/relationships/hyperlink" Target="https://lms.pps.net/courses/64302/assignments/748547" TargetMode="External"/><Relationship Id="rId2" Type="http://schemas.openxmlformats.org/officeDocument/2006/relationships/hyperlink" Target="https://lms.pps.net/courses/64513/assignments" TargetMode="External"/><Relationship Id="rId29" Type="http://schemas.openxmlformats.org/officeDocument/2006/relationships/hyperlink" Target="https://lms.pps.net/courses/64513/assignments/732124" TargetMode="External"/><Relationship Id="rId255" Type="http://schemas.openxmlformats.org/officeDocument/2006/relationships/hyperlink" Target="https://lms.pps.net/courses/64302/assignments/772744/submissions?zip=1" TargetMode="External"/><Relationship Id="rId276" Type="http://schemas.openxmlformats.org/officeDocument/2006/relationships/hyperlink" Target="https://lms.pps.net/courses/80436" TargetMode="External"/><Relationship Id="rId297" Type="http://schemas.openxmlformats.org/officeDocument/2006/relationships/hyperlink" Target="https://lms.pps.net/courses/80436/assignments" TargetMode="External"/><Relationship Id="rId40" Type="http://schemas.openxmlformats.org/officeDocument/2006/relationships/hyperlink" Target="https://lms.pps.net/courses/64513/assignments/732750/submissions?zip=1" TargetMode="External"/><Relationship Id="rId115" Type="http://schemas.openxmlformats.org/officeDocument/2006/relationships/hyperlink" Target="https://lms.pps.net/courses/80430/assignments/740975/submissions?zip=1" TargetMode="External"/><Relationship Id="rId136" Type="http://schemas.openxmlformats.org/officeDocument/2006/relationships/hyperlink" Target="https://lms.pps.net/courses/80434" TargetMode="External"/><Relationship Id="rId157" Type="http://schemas.openxmlformats.org/officeDocument/2006/relationships/hyperlink" Target="https://lms.pps.net/courses/64302/assignments" TargetMode="External"/><Relationship Id="rId178" Type="http://schemas.openxmlformats.org/officeDocument/2006/relationships/hyperlink" Target="https://lms.pps.net/courses/64302/assignments/729517" TargetMode="External"/><Relationship Id="rId301" Type="http://schemas.openxmlformats.org/officeDocument/2006/relationships/hyperlink" Target="https://lms.pps.net/courses/80436" TargetMode="External"/><Relationship Id="rId322" Type="http://schemas.openxmlformats.org/officeDocument/2006/relationships/hyperlink" Target="https://lms.pps.net/courses/80436/assignments" TargetMode="External"/><Relationship Id="rId343" Type="http://schemas.openxmlformats.org/officeDocument/2006/relationships/hyperlink" Target="https://lms.pps.net/courses/80436/assignments/743434" TargetMode="External"/><Relationship Id="rId364" Type="http://schemas.openxmlformats.org/officeDocument/2006/relationships/hyperlink" Target="https://lms.pps.net/courses/80436/assignments/748573" TargetMode="External"/><Relationship Id="rId61" Type="http://schemas.openxmlformats.org/officeDocument/2006/relationships/hyperlink" Target="https://lms.pps.net/courses/64513" TargetMode="External"/><Relationship Id="rId82" Type="http://schemas.openxmlformats.org/officeDocument/2006/relationships/hyperlink" Target="https://lms.pps.net/courses/64513/assignments" TargetMode="External"/><Relationship Id="rId199" Type="http://schemas.openxmlformats.org/officeDocument/2006/relationships/hyperlink" Target="https://lms.pps.net/courses/64302/assignments/786652" TargetMode="External"/><Relationship Id="rId203" Type="http://schemas.openxmlformats.org/officeDocument/2006/relationships/hyperlink" Target="https://lms.pps.net/courses/64302/assignments/792408" TargetMode="External"/><Relationship Id="rId385" Type="http://schemas.openxmlformats.org/officeDocument/2006/relationships/hyperlink" Target="https://lms.pps.net/courses/80436/assignments/772749/submissions?zip=1" TargetMode="External"/><Relationship Id="rId19" Type="http://schemas.openxmlformats.org/officeDocument/2006/relationships/hyperlink" Target="https://lms.pps.net/courses/64513/assignments/730024" TargetMode="External"/><Relationship Id="rId224" Type="http://schemas.openxmlformats.org/officeDocument/2006/relationships/hyperlink" Target="https://lms.pps.net/courses/64302/assignments/742528" TargetMode="External"/><Relationship Id="rId245" Type="http://schemas.openxmlformats.org/officeDocument/2006/relationships/hyperlink" Target="https://lms.pps.net/courses/64302/assignments/748549/submissions?zip=1" TargetMode="External"/><Relationship Id="rId266" Type="http://schemas.openxmlformats.org/officeDocument/2006/relationships/hyperlink" Target="https://lms.pps.net/courses/64302" TargetMode="External"/><Relationship Id="rId287" Type="http://schemas.openxmlformats.org/officeDocument/2006/relationships/hyperlink" Target="https://lms.pps.net/courses/80436/assignments" TargetMode="External"/><Relationship Id="rId410" Type="http://schemas.openxmlformats.org/officeDocument/2006/relationships/comments" Target="../comments1.xml"/><Relationship Id="rId30" Type="http://schemas.openxmlformats.org/officeDocument/2006/relationships/hyperlink" Target="https://lms.pps.net/courses/64513/assignments/732124/submissions?zip=1" TargetMode="External"/><Relationship Id="rId105" Type="http://schemas.openxmlformats.org/officeDocument/2006/relationships/hyperlink" Target="https://lms.pps.net/courses/64513/assignments/786254/submissions?zip=1" TargetMode="External"/><Relationship Id="rId126" Type="http://schemas.openxmlformats.org/officeDocument/2006/relationships/hyperlink" Target="https://lms.pps.net/courses/80434" TargetMode="External"/><Relationship Id="rId147" Type="http://schemas.openxmlformats.org/officeDocument/2006/relationships/hyperlink" Target="https://lms.pps.net/courses/64302/assignments" TargetMode="External"/><Relationship Id="rId168" Type="http://schemas.openxmlformats.org/officeDocument/2006/relationships/hyperlink" Target="https://lms.pps.net/courses/64302/assignments/729512" TargetMode="External"/><Relationship Id="rId312" Type="http://schemas.openxmlformats.org/officeDocument/2006/relationships/hyperlink" Target="https://lms.pps.net/courses/80436/assignments" TargetMode="External"/><Relationship Id="rId333" Type="http://schemas.openxmlformats.org/officeDocument/2006/relationships/hyperlink" Target="https://lms.pps.net/courses/80436/assignments/743436" TargetMode="External"/><Relationship Id="rId354" Type="http://schemas.openxmlformats.org/officeDocument/2006/relationships/hyperlink" Target="https://lms.pps.net/courses/80436/assignments/748571" TargetMode="External"/><Relationship Id="rId51" Type="http://schemas.openxmlformats.org/officeDocument/2006/relationships/hyperlink" Target="https://lms.pps.net/courses/64513" TargetMode="External"/><Relationship Id="rId72" Type="http://schemas.openxmlformats.org/officeDocument/2006/relationships/hyperlink" Target="https://lms.pps.net/courses/64513/assignments" TargetMode="External"/><Relationship Id="rId93" Type="http://schemas.openxmlformats.org/officeDocument/2006/relationships/hyperlink" Target="https://lms.pps.net/courses/64513/assignments/774639" TargetMode="External"/><Relationship Id="rId189" Type="http://schemas.openxmlformats.org/officeDocument/2006/relationships/hyperlink" Target="https://lms.pps.net/courses/64302/assignments/729520" TargetMode="External"/><Relationship Id="rId375" Type="http://schemas.openxmlformats.org/officeDocument/2006/relationships/hyperlink" Target="https://lms.pps.net/courses/80436/assignments/772748/submissions?zip=1" TargetMode="External"/><Relationship Id="rId396" Type="http://schemas.openxmlformats.org/officeDocument/2006/relationships/hyperlink" Target="https://lms.pps.net/courses/80436" TargetMode="External"/><Relationship Id="rId3" Type="http://schemas.openxmlformats.org/officeDocument/2006/relationships/hyperlink" Target="https://lms.pps.net/courses/64513/assignments/766378" TargetMode="External"/><Relationship Id="rId214" Type="http://schemas.openxmlformats.org/officeDocument/2006/relationships/hyperlink" Target="https://lms.pps.net/courses/64302/assignments/742530" TargetMode="External"/><Relationship Id="rId235" Type="http://schemas.openxmlformats.org/officeDocument/2006/relationships/hyperlink" Target="https://lms.pps.net/courses/64302/assignments/748547/submissions?zip=1" TargetMode="External"/><Relationship Id="rId256" Type="http://schemas.openxmlformats.org/officeDocument/2006/relationships/hyperlink" Target="https://lms.pps.net/courses/64302" TargetMode="External"/><Relationship Id="rId277" Type="http://schemas.openxmlformats.org/officeDocument/2006/relationships/hyperlink" Target="https://lms.pps.net/courses/80436/assignments" TargetMode="External"/><Relationship Id="rId298" Type="http://schemas.openxmlformats.org/officeDocument/2006/relationships/hyperlink" Target="https://lms.pps.net/courses/80436/assignments/734807" TargetMode="External"/><Relationship Id="rId400" Type="http://schemas.openxmlformats.org/officeDocument/2006/relationships/hyperlink" Target="https://lms.pps.net/courses/80436/assignments/778720/submissions?zip=1" TargetMode="External"/><Relationship Id="rId116" Type="http://schemas.openxmlformats.org/officeDocument/2006/relationships/hyperlink" Target="https://lms.pps.net/courses/80430" TargetMode="External"/><Relationship Id="rId137" Type="http://schemas.openxmlformats.org/officeDocument/2006/relationships/hyperlink" Target="https://lms.pps.net/courses/80434/assignments" TargetMode="External"/><Relationship Id="rId158" Type="http://schemas.openxmlformats.org/officeDocument/2006/relationships/hyperlink" Target="https://lms.pps.net/courses/64302/assignments/730554" TargetMode="External"/><Relationship Id="rId302" Type="http://schemas.openxmlformats.org/officeDocument/2006/relationships/hyperlink" Target="https://lms.pps.net/courses/80436/assignments" TargetMode="External"/><Relationship Id="rId323" Type="http://schemas.openxmlformats.org/officeDocument/2006/relationships/hyperlink" Target="https://lms.pps.net/courses/80436/assignments/773621" TargetMode="External"/><Relationship Id="rId344" Type="http://schemas.openxmlformats.org/officeDocument/2006/relationships/hyperlink" Target="https://lms.pps.net/courses/80436/assignments/743434" TargetMode="External"/><Relationship Id="rId20" Type="http://schemas.openxmlformats.org/officeDocument/2006/relationships/hyperlink" Target="https://lms.pps.net/courses/64513/assignments/730024/submissions?zip=1" TargetMode="External"/><Relationship Id="rId41" Type="http://schemas.openxmlformats.org/officeDocument/2006/relationships/hyperlink" Target="https://lms.pps.net/courses/64513" TargetMode="External"/><Relationship Id="rId62" Type="http://schemas.openxmlformats.org/officeDocument/2006/relationships/hyperlink" Target="https://lms.pps.net/courses/64513/assignments" TargetMode="External"/><Relationship Id="rId83" Type="http://schemas.openxmlformats.org/officeDocument/2006/relationships/hyperlink" Target="https://lms.pps.net/courses/64513/assignments/759372" TargetMode="External"/><Relationship Id="rId179" Type="http://schemas.openxmlformats.org/officeDocument/2006/relationships/hyperlink" Target="https://lms.pps.net/courses/64302/assignments/729517" TargetMode="External"/><Relationship Id="rId365" Type="http://schemas.openxmlformats.org/officeDocument/2006/relationships/hyperlink" Target="https://lms.pps.net/courses/80436/assignments/748573/submissions?zip=1" TargetMode="External"/><Relationship Id="rId386" Type="http://schemas.openxmlformats.org/officeDocument/2006/relationships/hyperlink" Target="https://lms.pps.net/courses/80436" TargetMode="External"/><Relationship Id="rId190" Type="http://schemas.openxmlformats.org/officeDocument/2006/relationships/hyperlink" Target="https://lms.pps.net/courses/64302/assignments/729520/submissions?zip=1" TargetMode="External"/><Relationship Id="rId204" Type="http://schemas.openxmlformats.org/officeDocument/2006/relationships/hyperlink" Target="https://lms.pps.net/courses/64302/assignments/792408" TargetMode="External"/><Relationship Id="rId225" Type="http://schemas.openxmlformats.org/officeDocument/2006/relationships/hyperlink" Target="https://lms.pps.net/courses/64302/quizzes/96176/submissions?zip=1" TargetMode="External"/><Relationship Id="rId246" Type="http://schemas.openxmlformats.org/officeDocument/2006/relationships/hyperlink" Target="https://lms.pps.net/courses/64302" TargetMode="External"/><Relationship Id="rId267" Type="http://schemas.openxmlformats.org/officeDocument/2006/relationships/hyperlink" Target="https://lms.pps.net/courses/64302/assignments" TargetMode="External"/><Relationship Id="rId288" Type="http://schemas.openxmlformats.org/officeDocument/2006/relationships/hyperlink" Target="https://lms.pps.net/courses/80436/assignments/729666" TargetMode="External"/><Relationship Id="rId106" Type="http://schemas.openxmlformats.org/officeDocument/2006/relationships/hyperlink" Target="https://lms.pps.net/courses/80430" TargetMode="External"/><Relationship Id="rId127" Type="http://schemas.openxmlformats.org/officeDocument/2006/relationships/hyperlink" Target="https://lms.pps.net/courses/80434/assignments" TargetMode="External"/><Relationship Id="rId313" Type="http://schemas.openxmlformats.org/officeDocument/2006/relationships/hyperlink" Target="https://lms.pps.net/courses/80436/assignments/746291" TargetMode="External"/><Relationship Id="rId10" Type="http://schemas.openxmlformats.org/officeDocument/2006/relationships/hyperlink" Target="https://lms.pps.net/courses/64513/assignments/707573/submissions?zip=1" TargetMode="External"/><Relationship Id="rId31" Type="http://schemas.openxmlformats.org/officeDocument/2006/relationships/hyperlink" Target="https://lms.pps.net/courses/64513" TargetMode="External"/><Relationship Id="rId52" Type="http://schemas.openxmlformats.org/officeDocument/2006/relationships/hyperlink" Target="https://lms.pps.net/courses/64513/assignments" TargetMode="External"/><Relationship Id="rId73" Type="http://schemas.openxmlformats.org/officeDocument/2006/relationships/hyperlink" Target="https://lms.pps.net/courses/64513/assignments/747092" TargetMode="External"/><Relationship Id="rId94" Type="http://schemas.openxmlformats.org/officeDocument/2006/relationships/hyperlink" Target="https://lms.pps.net/courses/64513/assignments/774639" TargetMode="External"/><Relationship Id="rId148" Type="http://schemas.openxmlformats.org/officeDocument/2006/relationships/hyperlink" Target="https://lms.pps.net/courses/64302/assignments/727072" TargetMode="External"/><Relationship Id="rId169" Type="http://schemas.openxmlformats.org/officeDocument/2006/relationships/hyperlink" Target="https://lms.pps.net/courses/64302/assignments/729512" TargetMode="External"/><Relationship Id="rId334" Type="http://schemas.openxmlformats.org/officeDocument/2006/relationships/hyperlink" Target="https://lms.pps.net/courses/80436/assignments/743436" TargetMode="External"/><Relationship Id="rId355" Type="http://schemas.openxmlformats.org/officeDocument/2006/relationships/hyperlink" Target="https://lms.pps.net/courses/80436/assignments/748571/submissions?zip=1" TargetMode="External"/><Relationship Id="rId376" Type="http://schemas.openxmlformats.org/officeDocument/2006/relationships/hyperlink" Target="https://lms.pps.net/courses/80436" TargetMode="External"/><Relationship Id="rId397" Type="http://schemas.openxmlformats.org/officeDocument/2006/relationships/hyperlink" Target="https://lms.pps.net/courses/80436/assignments" TargetMode="External"/><Relationship Id="rId4" Type="http://schemas.openxmlformats.org/officeDocument/2006/relationships/hyperlink" Target="https://lms.pps.net/courses/64513/assignments/766378" TargetMode="External"/><Relationship Id="rId180" Type="http://schemas.openxmlformats.org/officeDocument/2006/relationships/hyperlink" Target="https://lms.pps.net/courses/64302/assignments/729517/submissions?zip=1" TargetMode="External"/><Relationship Id="rId215" Type="http://schemas.openxmlformats.org/officeDocument/2006/relationships/hyperlink" Target="https://lms.pps.net/courses/64302/assignments/742530/submissions?zip=1" TargetMode="External"/><Relationship Id="rId236" Type="http://schemas.openxmlformats.org/officeDocument/2006/relationships/hyperlink" Target="https://lms.pps.net/courses/64302" TargetMode="External"/><Relationship Id="rId257" Type="http://schemas.openxmlformats.org/officeDocument/2006/relationships/hyperlink" Target="https://lms.pps.net/courses/64302/assignments" TargetMode="External"/><Relationship Id="rId278" Type="http://schemas.openxmlformats.org/officeDocument/2006/relationships/hyperlink" Target="https://lms.pps.net/courses/80436/assignments/727078" TargetMode="External"/><Relationship Id="rId401" Type="http://schemas.openxmlformats.org/officeDocument/2006/relationships/hyperlink" Target="https://lms.pps.net/courses/80436" TargetMode="External"/><Relationship Id="rId303" Type="http://schemas.openxmlformats.org/officeDocument/2006/relationships/hyperlink" Target="https://lms.pps.net/courses/80436/assignments/734808" TargetMode="External"/><Relationship Id="rId42" Type="http://schemas.openxmlformats.org/officeDocument/2006/relationships/hyperlink" Target="https://lms.pps.net/courses/64513/assignments" TargetMode="External"/><Relationship Id="rId84" Type="http://schemas.openxmlformats.org/officeDocument/2006/relationships/hyperlink" Target="https://lms.pps.net/courses/64513/assignments/759372" TargetMode="External"/><Relationship Id="rId138" Type="http://schemas.openxmlformats.org/officeDocument/2006/relationships/hyperlink" Target="https://lms.pps.net/courses/80434/assignments/788510" TargetMode="External"/><Relationship Id="rId345" Type="http://schemas.openxmlformats.org/officeDocument/2006/relationships/hyperlink" Target="https://lms.pps.net/courses/80436/quizzes/96266/submissions?zip=1" TargetMode="External"/><Relationship Id="rId387" Type="http://schemas.openxmlformats.org/officeDocument/2006/relationships/hyperlink" Target="https://lms.pps.net/courses/80436/assignments" TargetMode="External"/><Relationship Id="rId191" Type="http://schemas.openxmlformats.org/officeDocument/2006/relationships/hyperlink" Target="https://lms.pps.net/courses/64302" TargetMode="External"/><Relationship Id="rId205" Type="http://schemas.openxmlformats.org/officeDocument/2006/relationships/hyperlink" Target="https://lms.pps.net/courses/64302/assignments/792408/submissions?zip=1" TargetMode="External"/><Relationship Id="rId247" Type="http://schemas.openxmlformats.org/officeDocument/2006/relationships/hyperlink" Target="https://lms.pps.net/courses/64302/assignments" TargetMode="External"/><Relationship Id="rId107" Type="http://schemas.openxmlformats.org/officeDocument/2006/relationships/hyperlink" Target="https://lms.pps.net/courses/80430/assignments" TargetMode="External"/><Relationship Id="rId289" Type="http://schemas.openxmlformats.org/officeDocument/2006/relationships/hyperlink" Target="https://lms.pps.net/courses/80436/assignments/729666" TargetMode="External"/><Relationship Id="rId11" Type="http://schemas.openxmlformats.org/officeDocument/2006/relationships/hyperlink" Target="https://lms.pps.net/courses/64513" TargetMode="External"/><Relationship Id="rId53" Type="http://schemas.openxmlformats.org/officeDocument/2006/relationships/hyperlink" Target="https://lms.pps.net/courses/64513/assignments/738702" TargetMode="External"/><Relationship Id="rId149" Type="http://schemas.openxmlformats.org/officeDocument/2006/relationships/hyperlink" Target="https://lms.pps.net/courses/64302/assignments/727072" TargetMode="External"/><Relationship Id="rId314" Type="http://schemas.openxmlformats.org/officeDocument/2006/relationships/hyperlink" Target="https://lms.pps.net/courses/80436/assignments/746291" TargetMode="External"/><Relationship Id="rId356" Type="http://schemas.openxmlformats.org/officeDocument/2006/relationships/hyperlink" Target="https://lms.pps.net/courses/80436" TargetMode="External"/><Relationship Id="rId398" Type="http://schemas.openxmlformats.org/officeDocument/2006/relationships/hyperlink" Target="https://lms.pps.net/courses/80436/assignments/778720" TargetMode="External"/><Relationship Id="rId95" Type="http://schemas.openxmlformats.org/officeDocument/2006/relationships/hyperlink" Target="https://lms.pps.net/courses/64513/assignments/774639/submissions?zip=1" TargetMode="External"/><Relationship Id="rId160" Type="http://schemas.openxmlformats.org/officeDocument/2006/relationships/hyperlink" Target="https://lms.pps.net/courses/64302/assignments/730554/submissions?zip=1" TargetMode="External"/><Relationship Id="rId216" Type="http://schemas.openxmlformats.org/officeDocument/2006/relationships/hyperlink" Target="https://lms.pps.net/courses/64302" TargetMode="External"/><Relationship Id="rId258" Type="http://schemas.openxmlformats.org/officeDocument/2006/relationships/hyperlink" Target="https://lms.pps.net/courses/64302/assignments/772745" TargetMode="External"/><Relationship Id="rId22" Type="http://schemas.openxmlformats.org/officeDocument/2006/relationships/hyperlink" Target="https://lms.pps.net/courses/64513/assignments" TargetMode="External"/><Relationship Id="rId64" Type="http://schemas.openxmlformats.org/officeDocument/2006/relationships/hyperlink" Target="https://lms.pps.net/courses/64513/assignments/744180" TargetMode="External"/><Relationship Id="rId118" Type="http://schemas.openxmlformats.org/officeDocument/2006/relationships/hyperlink" Target="https://lms.pps.net/courses/80430/assignments/788450" TargetMode="External"/><Relationship Id="rId325" Type="http://schemas.openxmlformats.org/officeDocument/2006/relationships/hyperlink" Target="https://lms.pps.net/courses/80436/assignments/773621/submissions?zip=1" TargetMode="External"/><Relationship Id="rId367" Type="http://schemas.openxmlformats.org/officeDocument/2006/relationships/hyperlink" Target="https://lms.pps.net/courses/80436/assignments" TargetMode="External"/><Relationship Id="rId171" Type="http://schemas.openxmlformats.org/officeDocument/2006/relationships/hyperlink" Target="https://lms.pps.net/courses/64302" TargetMode="External"/><Relationship Id="rId227" Type="http://schemas.openxmlformats.org/officeDocument/2006/relationships/hyperlink" Target="https://lms.pps.net/courses/64302/assignments" TargetMode="External"/><Relationship Id="rId269" Type="http://schemas.openxmlformats.org/officeDocument/2006/relationships/hyperlink" Target="https://lms.pps.net/courses/64302/assignments/772747" TargetMode="External"/><Relationship Id="rId33" Type="http://schemas.openxmlformats.org/officeDocument/2006/relationships/hyperlink" Target="https://lms.pps.net/courses/64513/assignments/732130" TargetMode="External"/><Relationship Id="rId129" Type="http://schemas.openxmlformats.org/officeDocument/2006/relationships/hyperlink" Target="https://lms.pps.net/courses/80434/assignments/723365" TargetMode="External"/><Relationship Id="rId280" Type="http://schemas.openxmlformats.org/officeDocument/2006/relationships/hyperlink" Target="https://lms.pps.net/courses/80436/assignments/727078/submissions?zip=1" TargetMode="External"/><Relationship Id="rId336" Type="http://schemas.openxmlformats.org/officeDocument/2006/relationships/hyperlink" Target="https://lms.pps.net/courses/80436" TargetMode="External"/><Relationship Id="rId75" Type="http://schemas.openxmlformats.org/officeDocument/2006/relationships/hyperlink" Target="https://lms.pps.net/courses/64513/assignments/747092/submissions?zip=1" TargetMode="External"/><Relationship Id="rId140" Type="http://schemas.openxmlformats.org/officeDocument/2006/relationships/hyperlink" Target="https://lms.pps.net/courses/80434/assignments/788510/submissions?zip=1" TargetMode="External"/><Relationship Id="rId182" Type="http://schemas.openxmlformats.org/officeDocument/2006/relationships/hyperlink" Target="https://lms.pps.net/courses/64302/assignments" TargetMode="External"/><Relationship Id="rId378" Type="http://schemas.openxmlformats.org/officeDocument/2006/relationships/hyperlink" Target="https://lms.pps.net/courses/80436/assignments/786655" TargetMode="External"/><Relationship Id="rId403" Type="http://schemas.openxmlformats.org/officeDocument/2006/relationships/hyperlink" Target="https://lms.pps.net/courses/80436/assignments/792409" TargetMode="External"/><Relationship Id="rId6" Type="http://schemas.openxmlformats.org/officeDocument/2006/relationships/hyperlink" Target="https://lms.pps.net/courses/64513" TargetMode="External"/><Relationship Id="rId238" Type="http://schemas.openxmlformats.org/officeDocument/2006/relationships/hyperlink" Target="https://lms.pps.net/courses/64302/assignments/748548" TargetMode="External"/><Relationship Id="rId291" Type="http://schemas.openxmlformats.org/officeDocument/2006/relationships/hyperlink" Target="https://lms.pps.net/courses/80436" TargetMode="External"/><Relationship Id="rId305" Type="http://schemas.openxmlformats.org/officeDocument/2006/relationships/hyperlink" Target="https://lms.pps.net/courses/80436/assignments/734808/submissions?zip=1" TargetMode="External"/><Relationship Id="rId347" Type="http://schemas.openxmlformats.org/officeDocument/2006/relationships/hyperlink" Target="https://lms.pps.net/courses/80436/assignments" TargetMode="External"/><Relationship Id="rId44" Type="http://schemas.openxmlformats.org/officeDocument/2006/relationships/hyperlink" Target="https://lms.pps.net/courses/64513/assignments/733064" TargetMode="External"/><Relationship Id="rId86" Type="http://schemas.openxmlformats.org/officeDocument/2006/relationships/hyperlink" Target="https://lms.pps.net/courses/64513" TargetMode="External"/><Relationship Id="rId151" Type="http://schemas.openxmlformats.org/officeDocument/2006/relationships/hyperlink" Target="https://lms.pps.net/courses/64302" TargetMode="External"/><Relationship Id="rId389" Type="http://schemas.openxmlformats.org/officeDocument/2006/relationships/hyperlink" Target="https://lms.pps.net/courses/80436/assignments/772750" TargetMode="External"/><Relationship Id="rId193" Type="http://schemas.openxmlformats.org/officeDocument/2006/relationships/hyperlink" Target="https://lms.pps.net/courses/64302/assignments/773614" TargetMode="External"/><Relationship Id="rId207" Type="http://schemas.openxmlformats.org/officeDocument/2006/relationships/hyperlink" Target="https://lms.pps.net/courses/64302/assignments" TargetMode="External"/><Relationship Id="rId249" Type="http://schemas.openxmlformats.org/officeDocument/2006/relationships/hyperlink" Target="https://lms.pps.net/courses/64302/assignments/748550" TargetMode="External"/><Relationship Id="rId13" Type="http://schemas.openxmlformats.org/officeDocument/2006/relationships/hyperlink" Target="https://lms.pps.net/courses/64513/assignments/723381" TargetMode="External"/><Relationship Id="rId109" Type="http://schemas.openxmlformats.org/officeDocument/2006/relationships/hyperlink" Target="https://lms.pps.net/courses/80430/assignments/723324" TargetMode="External"/><Relationship Id="rId260" Type="http://schemas.openxmlformats.org/officeDocument/2006/relationships/hyperlink" Target="https://lms.pps.net/courses/64302/assignments/772745/submissions?zip=1" TargetMode="External"/><Relationship Id="rId316" Type="http://schemas.openxmlformats.org/officeDocument/2006/relationships/hyperlink" Target="https://lms.pps.net/courses/80436" TargetMode="External"/><Relationship Id="rId55" Type="http://schemas.openxmlformats.org/officeDocument/2006/relationships/hyperlink" Target="https://lms.pps.net/courses/64513/assignments/738702/submissions?zip=1" TargetMode="External"/><Relationship Id="rId97" Type="http://schemas.openxmlformats.org/officeDocument/2006/relationships/hyperlink" Target="https://lms.pps.net/courses/64513/assignments" TargetMode="External"/><Relationship Id="rId120" Type="http://schemas.openxmlformats.org/officeDocument/2006/relationships/hyperlink" Target="https://lms.pps.net/courses/80430/assignments/788450/submissions?zip=1" TargetMode="External"/><Relationship Id="rId358" Type="http://schemas.openxmlformats.org/officeDocument/2006/relationships/hyperlink" Target="https://lms.pps.net/courses/80436/assignments/748572" TargetMode="External"/><Relationship Id="rId162" Type="http://schemas.openxmlformats.org/officeDocument/2006/relationships/hyperlink" Target="https://lms.pps.net/courses/64302/assignments" TargetMode="External"/><Relationship Id="rId218" Type="http://schemas.openxmlformats.org/officeDocument/2006/relationships/hyperlink" Target="https://lms.pps.net/courses/64302/assignments/742531" TargetMode="External"/><Relationship Id="rId271" Type="http://schemas.openxmlformats.org/officeDocument/2006/relationships/hyperlink" Target="https://lms.pps.net/courses/64302" TargetMode="External"/><Relationship Id="rId24" Type="http://schemas.openxmlformats.org/officeDocument/2006/relationships/hyperlink" Target="https://lms.pps.net/courses/64513/assignments/730070" TargetMode="External"/><Relationship Id="rId66" Type="http://schemas.openxmlformats.org/officeDocument/2006/relationships/hyperlink" Target="https://lms.pps.net/courses/64513" TargetMode="External"/><Relationship Id="rId131" Type="http://schemas.openxmlformats.org/officeDocument/2006/relationships/hyperlink" Target="https://lms.pps.net/courses/80434" TargetMode="External"/><Relationship Id="rId327" Type="http://schemas.openxmlformats.org/officeDocument/2006/relationships/hyperlink" Target="https://lms.pps.net/courses/80436/assignments" TargetMode="External"/><Relationship Id="rId369" Type="http://schemas.openxmlformats.org/officeDocument/2006/relationships/hyperlink" Target="https://lms.pps.net/courses/80436/assignments/748574" TargetMode="External"/><Relationship Id="rId173" Type="http://schemas.openxmlformats.org/officeDocument/2006/relationships/hyperlink" Target="https://lms.pps.net/courses/64302/assignments/729516" TargetMode="External"/><Relationship Id="rId229" Type="http://schemas.openxmlformats.org/officeDocument/2006/relationships/hyperlink" Target="https://lms.pps.net/courses/64302/assignments/748546" TargetMode="External"/><Relationship Id="rId380" Type="http://schemas.openxmlformats.org/officeDocument/2006/relationships/hyperlink" Target="https://lms.pps.net/courses/80436/assignments/786655/submissions?zip=1" TargetMode="External"/><Relationship Id="rId240" Type="http://schemas.openxmlformats.org/officeDocument/2006/relationships/hyperlink" Target="https://lms.pps.net/courses/64302/assignments/748548/submissions?zip=1" TargetMode="External"/><Relationship Id="rId35" Type="http://schemas.openxmlformats.org/officeDocument/2006/relationships/hyperlink" Target="https://lms.pps.net/courses/64513/quizzes/95293/submissions?zip=1" TargetMode="External"/><Relationship Id="rId77" Type="http://schemas.openxmlformats.org/officeDocument/2006/relationships/hyperlink" Target="https://lms.pps.net/courses/64513/assignments" TargetMode="External"/><Relationship Id="rId100" Type="http://schemas.openxmlformats.org/officeDocument/2006/relationships/hyperlink" Target="https://lms.pps.net/courses/64513/assignments/786320/submissions?zip=1" TargetMode="External"/><Relationship Id="rId282" Type="http://schemas.openxmlformats.org/officeDocument/2006/relationships/hyperlink" Target="https://lms.pps.net/courses/80436/assignments" TargetMode="External"/><Relationship Id="rId338" Type="http://schemas.openxmlformats.org/officeDocument/2006/relationships/hyperlink" Target="https://lms.pps.net/courses/80436/assignments/743437" TargetMode="External"/><Relationship Id="rId8" Type="http://schemas.openxmlformats.org/officeDocument/2006/relationships/hyperlink" Target="https://lms.pps.net/courses/64513/assignments/707573" TargetMode="External"/><Relationship Id="rId142" Type="http://schemas.openxmlformats.org/officeDocument/2006/relationships/hyperlink" Target="https://lms.pps.net/courses/80434/assignments" TargetMode="External"/><Relationship Id="rId184" Type="http://schemas.openxmlformats.org/officeDocument/2006/relationships/hyperlink" Target="https://lms.pps.net/courses/64302/assignments/729518" TargetMode="External"/><Relationship Id="rId391" Type="http://schemas.openxmlformats.org/officeDocument/2006/relationships/hyperlink" Target="https://lms.pps.net/courses/80436" TargetMode="External"/><Relationship Id="rId405" Type="http://schemas.openxmlformats.org/officeDocument/2006/relationships/hyperlink" Target="https://lms.pps.net/courses/80436/assignments/792409/submissions?zip=1" TargetMode="External"/><Relationship Id="rId251" Type="http://schemas.openxmlformats.org/officeDocument/2006/relationships/hyperlink" Target="https://lms.pps.net/courses/64302" TargetMode="External"/><Relationship Id="rId46" Type="http://schemas.openxmlformats.org/officeDocument/2006/relationships/hyperlink" Target="https://lms.pps.net/courses/64513" TargetMode="External"/><Relationship Id="rId293" Type="http://schemas.openxmlformats.org/officeDocument/2006/relationships/hyperlink" Target="https://lms.pps.net/courses/80436/assignments/734806" TargetMode="External"/><Relationship Id="rId307" Type="http://schemas.openxmlformats.org/officeDocument/2006/relationships/hyperlink" Target="https://lms.pps.net/courses/80436/assignments" TargetMode="External"/><Relationship Id="rId349" Type="http://schemas.openxmlformats.org/officeDocument/2006/relationships/hyperlink" Target="https://lms.pps.net/courses/80436/assignments/748570" TargetMode="External"/><Relationship Id="rId88" Type="http://schemas.openxmlformats.org/officeDocument/2006/relationships/hyperlink" Target="https://lms.pps.net/courses/64513/assignments/774011" TargetMode="External"/><Relationship Id="rId111" Type="http://schemas.openxmlformats.org/officeDocument/2006/relationships/hyperlink" Target="https://lms.pps.net/courses/80430" TargetMode="External"/><Relationship Id="rId153" Type="http://schemas.openxmlformats.org/officeDocument/2006/relationships/hyperlink" Target="https://lms.pps.net/courses/64302/assignments/729519" TargetMode="External"/><Relationship Id="rId195" Type="http://schemas.openxmlformats.org/officeDocument/2006/relationships/hyperlink" Target="https://lms.pps.net/courses/64302/assignments/773614/submissions?zip=1" TargetMode="External"/><Relationship Id="rId209" Type="http://schemas.openxmlformats.org/officeDocument/2006/relationships/hyperlink" Target="https://lms.pps.net/courses/64302/assignments/742529" TargetMode="External"/><Relationship Id="rId360" Type="http://schemas.openxmlformats.org/officeDocument/2006/relationships/hyperlink" Target="https://lms.pps.net/courses/80436/assignments/748572/submissions?zip=1" TargetMode="External"/><Relationship Id="rId220" Type="http://schemas.openxmlformats.org/officeDocument/2006/relationships/hyperlink" Target="https://lms.pps.net/courses/64302/assignments/742531/submissions?zip=1" TargetMode="External"/><Relationship Id="rId15" Type="http://schemas.openxmlformats.org/officeDocument/2006/relationships/hyperlink" Target="https://lms.pps.net/courses/64513/assignments/723381/submissions?zip=1" TargetMode="External"/><Relationship Id="rId57" Type="http://schemas.openxmlformats.org/officeDocument/2006/relationships/hyperlink" Target="https://lms.pps.net/courses/64513/assignments" TargetMode="External"/><Relationship Id="rId262" Type="http://schemas.openxmlformats.org/officeDocument/2006/relationships/hyperlink" Target="https://lms.pps.net/courses/64302/assignments" TargetMode="External"/><Relationship Id="rId318" Type="http://schemas.openxmlformats.org/officeDocument/2006/relationships/hyperlink" Target="https://lms.pps.net/courses/80436/assignments/746292" TargetMode="External"/><Relationship Id="rId99" Type="http://schemas.openxmlformats.org/officeDocument/2006/relationships/hyperlink" Target="https://lms.pps.net/courses/64513/assignments/786320" TargetMode="External"/><Relationship Id="rId122" Type="http://schemas.openxmlformats.org/officeDocument/2006/relationships/hyperlink" Target="https://lms.pps.net/courses/80430/assignments" TargetMode="External"/><Relationship Id="rId164" Type="http://schemas.openxmlformats.org/officeDocument/2006/relationships/hyperlink" Target="https://lms.pps.net/courses/64302/assignments/729515" TargetMode="External"/><Relationship Id="rId371" Type="http://schemas.openxmlformats.org/officeDocument/2006/relationships/hyperlink" Target="https://lms.pps.net/courses/80436" TargetMode="External"/><Relationship Id="rId26" Type="http://schemas.openxmlformats.org/officeDocument/2006/relationships/hyperlink" Target="https://lms.pps.net/courses/64513" TargetMode="External"/><Relationship Id="rId231" Type="http://schemas.openxmlformats.org/officeDocument/2006/relationships/hyperlink" Target="https://lms.pps.net/courses/64302" TargetMode="External"/><Relationship Id="rId273" Type="http://schemas.openxmlformats.org/officeDocument/2006/relationships/hyperlink" Target="https://lms.pps.net/courses/64302/assignments/778719" TargetMode="External"/><Relationship Id="rId329" Type="http://schemas.openxmlformats.org/officeDocument/2006/relationships/hyperlink" Target="https://lms.pps.net/courses/80436/assignments/743435" TargetMode="External"/><Relationship Id="rId68" Type="http://schemas.openxmlformats.org/officeDocument/2006/relationships/hyperlink" Target="https://lms.pps.net/courses/64513/assignments/747038" TargetMode="External"/><Relationship Id="rId133" Type="http://schemas.openxmlformats.org/officeDocument/2006/relationships/hyperlink" Target="https://lms.pps.net/courses/80434/assignments/740989" TargetMode="External"/><Relationship Id="rId175" Type="http://schemas.openxmlformats.org/officeDocument/2006/relationships/hyperlink" Target="https://lms.pps.net/courses/64302/assignments/729516/submissions?zip=1" TargetMode="External"/><Relationship Id="rId340" Type="http://schemas.openxmlformats.org/officeDocument/2006/relationships/hyperlink" Target="https://lms.pps.net/courses/80436/assignments/743437/submissions?zip=1" TargetMode="External"/><Relationship Id="rId200" Type="http://schemas.openxmlformats.org/officeDocument/2006/relationships/hyperlink" Target="https://lms.pps.net/courses/64302/assignments/786652/submissions?zip=1" TargetMode="External"/><Relationship Id="rId382" Type="http://schemas.openxmlformats.org/officeDocument/2006/relationships/hyperlink" Target="https://lms.pps.net/courses/80436/assignments" TargetMode="External"/><Relationship Id="rId242" Type="http://schemas.openxmlformats.org/officeDocument/2006/relationships/hyperlink" Target="https://lms.pps.net/courses/64302/assignments" TargetMode="External"/><Relationship Id="rId284" Type="http://schemas.openxmlformats.org/officeDocument/2006/relationships/hyperlink" Target="https://lms.pps.net/courses/80436/assignments/730568" TargetMode="External"/><Relationship Id="rId37" Type="http://schemas.openxmlformats.org/officeDocument/2006/relationships/hyperlink" Target="https://lms.pps.net/courses/64513/assignments" TargetMode="External"/><Relationship Id="rId79" Type="http://schemas.openxmlformats.org/officeDocument/2006/relationships/hyperlink" Target="https://lms.pps.net/courses/64513/assignments/748789" TargetMode="External"/><Relationship Id="rId102" Type="http://schemas.openxmlformats.org/officeDocument/2006/relationships/hyperlink" Target="https://lms.pps.net/courses/64513/assignments" TargetMode="External"/><Relationship Id="rId144" Type="http://schemas.openxmlformats.org/officeDocument/2006/relationships/hyperlink" Target="https://lms.pps.net/courses/80434/assignments/788509" TargetMode="External"/><Relationship Id="rId90" Type="http://schemas.openxmlformats.org/officeDocument/2006/relationships/hyperlink" Target="https://lms.pps.net/courses/64513/assignments/774011/submissions?zip=1" TargetMode="External"/><Relationship Id="rId186" Type="http://schemas.openxmlformats.org/officeDocument/2006/relationships/hyperlink" Target="https://lms.pps.net/courses/64302" TargetMode="External"/><Relationship Id="rId351" Type="http://schemas.openxmlformats.org/officeDocument/2006/relationships/hyperlink" Target="https://lms.pps.net/courses/80436" TargetMode="External"/><Relationship Id="rId393" Type="http://schemas.openxmlformats.org/officeDocument/2006/relationships/hyperlink" Target="https://lms.pps.net/courses/80436/assignments/772751" TargetMode="External"/><Relationship Id="rId407" Type="http://schemas.openxmlformats.org/officeDocument/2006/relationships/drawing" Target="../drawings/drawing1.xml"/><Relationship Id="rId211" Type="http://schemas.openxmlformats.org/officeDocument/2006/relationships/hyperlink" Target="https://lms.pps.net/courses/64302" TargetMode="External"/><Relationship Id="rId253" Type="http://schemas.openxmlformats.org/officeDocument/2006/relationships/hyperlink" Target="https://lms.pps.net/courses/64302/assignments/772744" TargetMode="External"/><Relationship Id="rId295" Type="http://schemas.openxmlformats.org/officeDocument/2006/relationships/hyperlink" Target="https://lms.pps.net/courses/80436/assignments/734806/submissions?zip=1" TargetMode="External"/><Relationship Id="rId309" Type="http://schemas.openxmlformats.org/officeDocument/2006/relationships/hyperlink" Target="https://lms.pps.net/courses/80436/assignments/746290"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hyperlink" Target="https://canvas.instructure.com/doc/api/assignment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4"/>
  <sheetViews>
    <sheetView workbookViewId="0"/>
  </sheetViews>
  <sheetFormatPr defaultColWidth="8.85546875" defaultRowHeight="15" x14ac:dyDescent="0.25"/>
  <cols>
    <col min="1" max="1" width="27.42578125" style="1" customWidth="1"/>
    <col min="2" max="2" width="83.28515625" style="1" customWidth="1"/>
    <col min="3" max="16384" width="8.85546875" style="1"/>
  </cols>
  <sheetData>
    <row r="1" spans="1:2" s="6" customFormat="1" x14ac:dyDescent="0.25">
      <c r="A1" s="6" t="s">
        <v>1</v>
      </c>
      <c r="B1" s="7" t="s">
        <v>2</v>
      </c>
    </row>
    <row r="2" spans="1:2" s="6" customFormat="1" x14ac:dyDescent="0.25">
      <c r="A2" s="6" t="s">
        <v>4</v>
      </c>
      <c r="B2" s="6" t="s">
        <v>5</v>
      </c>
    </row>
    <row r="3" spans="1:2" x14ac:dyDescent="0.25">
      <c r="A3" s="1" t="s">
        <v>0</v>
      </c>
      <c r="B3" s="1" t="s">
        <v>232</v>
      </c>
    </row>
    <row r="4" spans="1:2" x14ac:dyDescent="0.25">
      <c r="A4" s="1" t="s">
        <v>3</v>
      </c>
      <c r="B4" s="1" t="s">
        <v>231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I85"/>
  <sheetViews>
    <sheetView tabSelected="1" zoomScaleNormal="100" workbookViewId="0">
      <pane xSplit="6" ySplit="4" topLeftCell="G5" activePane="bottomRight" state="frozen"/>
      <selection pane="topRight" activeCell="G1" sqref="G1"/>
      <selection pane="bottomLeft" activeCell="A5" sqref="A5"/>
      <selection pane="bottomRight" activeCell="A5" sqref="A5:A11"/>
    </sheetView>
  </sheetViews>
  <sheetFormatPr defaultColWidth="8.85546875" defaultRowHeight="15" x14ac:dyDescent="0.25"/>
  <cols>
    <col min="1" max="1" width="30.28515625" style="3" customWidth="1"/>
    <col min="2" max="2" width="14.42578125" style="19" bestFit="1" customWidth="1"/>
    <col min="3" max="3" width="12.85546875" style="19" customWidth="1"/>
    <col min="4" max="4" width="29.42578125" style="36" customWidth="1"/>
    <col min="5" max="5" width="8.7109375" style="19" bestFit="1" customWidth="1"/>
    <col min="6" max="6" width="32.42578125" style="19" customWidth="1"/>
    <col min="7" max="7" width="7.28515625" style="3" customWidth="1"/>
    <col min="8" max="8" width="17.42578125" style="3" bestFit="1" customWidth="1"/>
    <col min="9" max="9" width="13.28515625" style="3" bestFit="1" customWidth="1"/>
    <col min="10" max="12" width="17.28515625" style="3" customWidth="1"/>
    <col min="13" max="13" width="19.28515625" style="3" bestFit="1" customWidth="1"/>
    <col min="14" max="14" width="14.85546875" style="3" bestFit="1" customWidth="1"/>
    <col min="15" max="15" width="11" style="3" customWidth="1"/>
    <col min="16" max="16" width="15.85546875" style="3" bestFit="1" customWidth="1"/>
    <col min="17" max="17" width="11.85546875" style="3" bestFit="1" customWidth="1"/>
    <col min="18" max="18" width="16.5703125" style="3" bestFit="1" customWidth="1"/>
    <col min="19" max="19" width="16.42578125" style="3" bestFit="1" customWidth="1"/>
    <col min="20" max="20" width="54.140625" style="3" bestFit="1" customWidth="1"/>
    <col min="21" max="21" width="73.28515625" style="3" bestFit="1" customWidth="1"/>
    <col min="22" max="22" width="22.5703125" style="3" bestFit="1" customWidth="1"/>
    <col min="23" max="23" width="20.7109375" style="3" bestFit="1" customWidth="1"/>
    <col min="24" max="24" width="20" style="3" bestFit="1" customWidth="1"/>
    <col min="25" max="26" width="18.42578125" style="3" bestFit="1" customWidth="1"/>
    <col min="27" max="27" width="35.28515625" style="3" bestFit="1" customWidth="1"/>
    <col min="28" max="28" width="15.5703125" style="3" bestFit="1" customWidth="1"/>
    <col min="29" max="29" width="25.7109375" style="3" bestFit="1" customWidth="1"/>
    <col min="30" max="30" width="20.85546875" style="3" bestFit="1" customWidth="1"/>
    <col min="31" max="31" width="25" style="3" bestFit="1" customWidth="1"/>
    <col min="32" max="32" width="27.140625" style="3" bestFit="1" customWidth="1"/>
    <col min="33" max="33" width="22.5703125" style="3" bestFit="1" customWidth="1"/>
    <col min="34" max="34" width="10.5703125" style="3" bestFit="1" customWidth="1"/>
    <col min="35" max="35" width="13.28515625" style="3" bestFit="1" customWidth="1"/>
    <col min="36" max="36" width="16" style="3" bestFit="1" customWidth="1"/>
    <col min="37" max="37" width="18.140625" style="3" bestFit="1" customWidth="1"/>
    <col min="38" max="38" width="9.28515625" style="3" bestFit="1" customWidth="1"/>
    <col min="39" max="39" width="28.85546875" style="3" bestFit="1" customWidth="1"/>
    <col min="40" max="40" width="21.5703125" style="3" bestFit="1" customWidth="1"/>
    <col min="41" max="41" width="16.140625" style="3" bestFit="1" customWidth="1"/>
    <col min="42" max="42" width="26.7109375" style="3" bestFit="1" customWidth="1"/>
    <col min="43" max="43" width="17.7109375" style="3" bestFit="1" customWidth="1"/>
    <col min="44" max="44" width="18.5703125" style="3" bestFit="1" customWidth="1"/>
    <col min="45" max="45" width="9.7109375" style="3" bestFit="1" customWidth="1"/>
    <col min="46" max="46" width="25.85546875" style="3" bestFit="1" customWidth="1"/>
    <col min="47" max="47" width="17.5703125" style="3" bestFit="1" customWidth="1"/>
    <col min="48" max="48" width="9" style="3" bestFit="1" customWidth="1"/>
    <col min="49" max="49" width="18.85546875" style="3" bestFit="1" customWidth="1"/>
    <col min="50" max="50" width="24.140625" style="3" bestFit="1" customWidth="1"/>
    <col min="51" max="51" width="16.5703125" style="3" bestFit="1" customWidth="1"/>
    <col min="52" max="52" width="8.5703125" style="3" bestFit="1" customWidth="1"/>
    <col min="53" max="53" width="24.140625" style="3" bestFit="1" customWidth="1"/>
    <col min="54" max="54" width="21" style="3" bestFit="1" customWidth="1"/>
    <col min="55" max="55" width="15" style="3" bestFit="1" customWidth="1"/>
    <col min="56" max="56" width="16.85546875" style="3" bestFit="1" customWidth="1"/>
    <col min="57" max="57" width="37.42578125" style="3" bestFit="1" customWidth="1"/>
    <col min="58" max="58" width="32.28515625" style="3" bestFit="1" customWidth="1"/>
    <col min="59" max="59" width="38.140625" style="3" bestFit="1" customWidth="1"/>
    <col min="60" max="60" width="21.42578125" style="3" bestFit="1" customWidth="1"/>
    <col min="61" max="61" width="19.7109375" style="3" bestFit="1" customWidth="1"/>
    <col min="62" max="16384" width="8.85546875" style="3"/>
  </cols>
  <sheetData>
    <row r="1" spans="1:61" s="2" customFormat="1" ht="21" x14ac:dyDescent="0.25">
      <c r="A1" s="5" t="s">
        <v>233</v>
      </c>
      <c r="B1" s="9"/>
      <c r="C1" s="34"/>
      <c r="D1" s="34"/>
      <c r="E1" s="34"/>
      <c r="F1" s="34"/>
      <c r="G1" s="9"/>
      <c r="H1" s="9"/>
      <c r="I1" s="9"/>
      <c r="J1" s="9"/>
      <c r="K1" s="4" t="s">
        <v>532</v>
      </c>
      <c r="L1" s="12"/>
      <c r="M1" s="12"/>
      <c r="N1" s="12"/>
      <c r="O1" s="12"/>
      <c r="P1" s="12"/>
      <c r="Q1" s="12"/>
      <c r="R1" s="12"/>
      <c r="S1" s="12"/>
      <c r="T1" s="12"/>
      <c r="U1" s="12"/>
      <c r="V1" s="9"/>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row>
    <row r="2" spans="1:61" s="2" customFormat="1" x14ac:dyDescent="0.25">
      <c r="A2" s="10"/>
      <c r="B2" s="46"/>
      <c r="C2" s="35"/>
      <c r="D2" s="35"/>
      <c r="E2" s="37"/>
      <c r="F2" s="37"/>
      <c r="G2" s="11"/>
      <c r="H2" s="9"/>
      <c r="I2" s="9"/>
      <c r="J2" s="12" t="s">
        <v>229</v>
      </c>
      <c r="K2" s="49">
        <v>44060</v>
      </c>
      <c r="L2" s="48"/>
      <c r="M2" s="47"/>
      <c r="N2" s="12"/>
      <c r="O2" s="12"/>
      <c r="P2" s="12"/>
      <c r="Q2" s="12"/>
      <c r="R2" s="12"/>
      <c r="S2" s="12"/>
      <c r="T2" s="12"/>
      <c r="U2" s="12"/>
      <c r="V2" s="9"/>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row>
    <row r="3" spans="1:61" s="2" customFormat="1" ht="18.75" x14ac:dyDescent="0.25">
      <c r="A3" s="8" t="s">
        <v>8</v>
      </c>
      <c r="B3" s="18">
        <f>COUNTA(MainReport[course_code])/COUNTA(MainReport[sis_course_code])</f>
        <v>1</v>
      </c>
      <c r="C3" s="38"/>
      <c r="D3" s="34"/>
      <c r="E3" s="34"/>
      <c r="F3" s="34"/>
      <c r="G3" s="9"/>
      <c r="H3" s="9"/>
      <c r="I3" s="9"/>
      <c r="J3" s="21" t="s">
        <v>72</v>
      </c>
      <c r="K3" s="9"/>
      <c r="L3" s="12"/>
      <c r="M3" s="12"/>
      <c r="N3" s="12"/>
      <c r="O3" s="12"/>
      <c r="P3" s="12"/>
      <c r="Q3" s="12"/>
      <c r="R3" s="12"/>
      <c r="S3" s="12"/>
      <c r="T3" s="12"/>
      <c r="U3" s="12"/>
      <c r="V3" s="9"/>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row>
    <row r="4" spans="1:61" s="13" customFormat="1" ht="30" x14ac:dyDescent="0.25">
      <c r="A4" s="13" t="s">
        <v>6</v>
      </c>
      <c r="B4" s="20" t="s">
        <v>10</v>
      </c>
      <c r="C4" s="20" t="s">
        <v>11</v>
      </c>
      <c r="D4" s="20" t="s">
        <v>67</v>
      </c>
      <c r="E4" s="20" t="s">
        <v>12</v>
      </c>
      <c r="F4" s="20" t="s">
        <v>68</v>
      </c>
      <c r="G4" s="20" t="s">
        <v>45</v>
      </c>
      <c r="H4" s="20" t="s">
        <v>40</v>
      </c>
      <c r="I4" s="20" t="s">
        <v>13</v>
      </c>
      <c r="J4" s="20" t="s">
        <v>16</v>
      </c>
      <c r="K4" s="20" t="s">
        <v>17</v>
      </c>
      <c r="L4" s="20" t="s">
        <v>18</v>
      </c>
      <c r="M4" s="20" t="s">
        <v>41</v>
      </c>
      <c r="N4" s="20" t="s">
        <v>43</v>
      </c>
      <c r="O4" s="20" t="s">
        <v>34</v>
      </c>
      <c r="P4" s="20" t="s">
        <v>19</v>
      </c>
      <c r="Q4" s="20" t="s">
        <v>20</v>
      </c>
      <c r="R4" s="20" t="s">
        <v>14</v>
      </c>
      <c r="S4" s="20" t="s">
        <v>15</v>
      </c>
      <c r="T4" s="20" t="s">
        <v>21</v>
      </c>
      <c r="U4" s="20" t="s">
        <v>22</v>
      </c>
      <c r="V4" s="20" t="s">
        <v>23</v>
      </c>
      <c r="W4" s="20" t="s">
        <v>24</v>
      </c>
      <c r="X4" s="20" t="s">
        <v>25</v>
      </c>
      <c r="Y4" s="20" t="s">
        <v>26</v>
      </c>
      <c r="Z4" s="20" t="s">
        <v>27</v>
      </c>
      <c r="AA4" s="20" t="s">
        <v>28</v>
      </c>
      <c r="AB4" s="20" t="s">
        <v>29</v>
      </c>
      <c r="AC4" s="20" t="s">
        <v>30</v>
      </c>
      <c r="AD4" s="20" t="s">
        <v>31</v>
      </c>
      <c r="AE4" s="20" t="s">
        <v>32</v>
      </c>
      <c r="AF4" s="20" t="s">
        <v>33</v>
      </c>
      <c r="AG4" s="20" t="s">
        <v>35</v>
      </c>
      <c r="AH4" s="20" t="s">
        <v>36</v>
      </c>
      <c r="AI4" s="20" t="s">
        <v>37</v>
      </c>
      <c r="AJ4" s="20" t="s">
        <v>38</v>
      </c>
      <c r="AK4" s="20" t="s">
        <v>39</v>
      </c>
      <c r="AL4" s="20" t="s">
        <v>7</v>
      </c>
      <c r="AM4" s="20" t="s">
        <v>42</v>
      </c>
      <c r="AN4" s="20" t="s">
        <v>44</v>
      </c>
      <c r="AO4" s="20" t="s">
        <v>46</v>
      </c>
      <c r="AP4" s="20" t="s">
        <v>47</v>
      </c>
      <c r="AQ4" s="20" t="s">
        <v>48</v>
      </c>
      <c r="AR4" s="20" t="s">
        <v>49</v>
      </c>
      <c r="AS4" s="20" t="s">
        <v>50</v>
      </c>
      <c r="AT4" s="20" t="s">
        <v>51</v>
      </c>
      <c r="AU4" s="20" t="s">
        <v>52</v>
      </c>
      <c r="AV4" s="20" t="s">
        <v>53</v>
      </c>
      <c r="AW4" s="20" t="s">
        <v>54</v>
      </c>
      <c r="AX4" s="20" t="s">
        <v>55</v>
      </c>
      <c r="AY4" s="20" t="s">
        <v>56</v>
      </c>
      <c r="AZ4" s="20" t="s">
        <v>57</v>
      </c>
      <c r="BA4" s="20" t="s">
        <v>58</v>
      </c>
      <c r="BB4" s="20" t="s">
        <v>59</v>
      </c>
      <c r="BC4" s="20" t="s">
        <v>60</v>
      </c>
      <c r="BD4" s="20" t="s">
        <v>61</v>
      </c>
      <c r="BE4" s="20" t="s">
        <v>62</v>
      </c>
      <c r="BF4" s="20" t="s">
        <v>63</v>
      </c>
      <c r="BG4" s="20" t="s">
        <v>64</v>
      </c>
      <c r="BH4" s="20" t="s">
        <v>65</v>
      </c>
      <c r="BI4" s="20" t="s">
        <v>66</v>
      </c>
    </row>
    <row r="5" spans="1:61" x14ac:dyDescent="0.25">
      <c r="A5" s="53" t="s">
        <v>236</v>
      </c>
      <c r="B5" s="41" t="s">
        <v>241</v>
      </c>
      <c r="C5" t="s">
        <v>234</v>
      </c>
      <c r="D5" s="41" t="s">
        <v>242</v>
      </c>
      <c r="E5" s="42" t="s">
        <v>447</v>
      </c>
      <c r="F5" s="41" t="s">
        <v>448</v>
      </c>
      <c r="G5" s="50">
        <v>1</v>
      </c>
      <c r="H5">
        <v>10</v>
      </c>
      <c r="I5">
        <v>630</v>
      </c>
      <c r="J5" s="44">
        <v>44678.290972222203</v>
      </c>
      <c r="K5" s="44"/>
      <c r="L5" s="44"/>
      <c r="M5" s="68" t="str">
        <f>{"online_text_entry","online_url","online_upload"}</f>
        <v>online_text_entry</v>
      </c>
      <c r="N5" s="62" t="s">
        <v>69</v>
      </c>
      <c r="O5" s="62">
        <v>0</v>
      </c>
      <c r="P5" s="50">
        <v>1</v>
      </c>
      <c r="Q5">
        <v>64513</v>
      </c>
      <c r="R5" s="43">
        <v>44673.239421296297</v>
      </c>
      <c r="S5" s="43">
        <v>44686.854409722197</v>
      </c>
      <c r="T5" s="45" t="s">
        <v>449</v>
      </c>
      <c r="U5" s="45" t="s">
        <v>450</v>
      </c>
      <c r="V5" s="66">
        <v>94693</v>
      </c>
      <c r="W5" s="50">
        <v>0</v>
      </c>
      <c r="X5">
        <v>255</v>
      </c>
      <c r="Y5" s="50">
        <v>0</v>
      </c>
      <c r="Z5" s="50">
        <v>0</v>
      </c>
      <c r="AA5" s="50">
        <v>0</v>
      </c>
      <c r="AB5" s="50">
        <v>0</v>
      </c>
      <c r="AC5" s="50">
        <v>0</v>
      </c>
      <c r="AD5">
        <v>0</v>
      </c>
      <c r="AE5" s="43"/>
      <c r="AF5" s="50">
        <v>0</v>
      </c>
      <c r="AG5">
        <v>0</v>
      </c>
      <c r="AH5">
        <v>1</v>
      </c>
      <c r="AI5" s="50">
        <v>0</v>
      </c>
      <c r="AJ5"/>
      <c r="AK5"/>
      <c r="AL5" s="50">
        <v>1</v>
      </c>
      <c r="AM5" s="50">
        <v>1</v>
      </c>
      <c r="AN5">
        <v>0</v>
      </c>
      <c r="AO5" s="50">
        <v>0</v>
      </c>
      <c r="AP5" s="50">
        <v>1</v>
      </c>
      <c r="AQ5" s="50">
        <v>0</v>
      </c>
      <c r="AR5"/>
      <c r="AS5">
        <v>0</v>
      </c>
      <c r="AT5" s="50">
        <v>0</v>
      </c>
      <c r="AU5" s="50">
        <v>0</v>
      </c>
      <c r="AV5" s="50">
        <v>0</v>
      </c>
      <c r="AW5"/>
      <c r="AX5" s="50">
        <v>0</v>
      </c>
      <c r="AY5"/>
      <c r="AZ5"/>
      <c r="BA5" s="50">
        <v>0</v>
      </c>
      <c r="BB5" s="50">
        <v>0</v>
      </c>
      <c r="BC5">
        <v>0</v>
      </c>
      <c r="BD5">
        <v>0</v>
      </c>
      <c r="BE5" s="50">
        <v>1</v>
      </c>
      <c r="BF5" s="50">
        <v>0</v>
      </c>
      <c r="BG5" s="50">
        <v>1</v>
      </c>
      <c r="BH5" s="50">
        <v>0</v>
      </c>
      <c r="BI5">
        <v>-1</v>
      </c>
    </row>
    <row r="6" spans="1:61" ht="14.45" customHeight="1" x14ac:dyDescent="0.35">
      <c r="A6" s="53" t="s">
        <v>236</v>
      </c>
      <c r="B6" s="41" t="s">
        <v>241</v>
      </c>
      <c r="C6" t="s">
        <v>234</v>
      </c>
      <c r="D6" s="41" t="s">
        <v>242</v>
      </c>
      <c r="E6" s="42" t="s">
        <v>243</v>
      </c>
      <c r="F6" s="41" t="s">
        <v>244</v>
      </c>
      <c r="G6" s="50">
        <v>1</v>
      </c>
      <c r="H6">
        <v>30</v>
      </c>
      <c r="I6">
        <v>803</v>
      </c>
      <c r="J6" s="44">
        <v>44601.333321759303</v>
      </c>
      <c r="K6" s="44"/>
      <c r="L6" s="44"/>
      <c r="M6" s="44" t="s">
        <v>78</v>
      </c>
      <c r="N6" s="62" t="s">
        <v>69</v>
      </c>
      <c r="O6" s="62">
        <v>4876</v>
      </c>
      <c r="P6" s="50">
        <v>0</v>
      </c>
      <c r="Q6">
        <v>64513</v>
      </c>
      <c r="R6" s="43">
        <v>44595.973460648202</v>
      </c>
      <c r="S6" s="43">
        <v>44655.1465046296</v>
      </c>
      <c r="T6" s="45" t="s">
        <v>245</v>
      </c>
      <c r="U6" s="45" t="s">
        <v>246</v>
      </c>
      <c r="V6" s="66">
        <v>77279</v>
      </c>
      <c r="W6" s="50">
        <v>0</v>
      </c>
      <c r="X6">
        <v>255</v>
      </c>
      <c r="Y6" s="50">
        <v>0</v>
      </c>
      <c r="Z6" s="50">
        <v>0</v>
      </c>
      <c r="AA6" s="50">
        <v>0</v>
      </c>
      <c r="AB6" s="50">
        <v>0</v>
      </c>
      <c r="AC6" s="50">
        <v>0</v>
      </c>
      <c r="AD6">
        <v>0</v>
      </c>
      <c r="AE6" s="43"/>
      <c r="AF6" s="50">
        <v>0</v>
      </c>
      <c r="AG6">
        <v>0</v>
      </c>
      <c r="AH6">
        <v>1</v>
      </c>
      <c r="AI6" s="50">
        <v>0</v>
      </c>
      <c r="AJ6"/>
      <c r="AK6"/>
      <c r="AL6" s="50">
        <v>1</v>
      </c>
      <c r="AM6" s="50">
        <v>1</v>
      </c>
      <c r="AN6">
        <v>0</v>
      </c>
      <c r="AO6" s="50">
        <v>0</v>
      </c>
      <c r="AP6" s="50">
        <v>0</v>
      </c>
      <c r="AQ6" s="50">
        <v>0</v>
      </c>
      <c r="AR6"/>
      <c r="AS6">
        <v>0</v>
      </c>
      <c r="AT6" s="50">
        <v>0</v>
      </c>
      <c r="AU6" s="50">
        <v>0</v>
      </c>
      <c r="AV6" s="50">
        <v>0</v>
      </c>
      <c r="AW6"/>
      <c r="AX6" s="50">
        <v>0</v>
      </c>
      <c r="AY6"/>
      <c r="AZ6"/>
      <c r="BA6" s="50">
        <v>0</v>
      </c>
      <c r="BB6" s="50">
        <v>0</v>
      </c>
      <c r="BC6">
        <v>0</v>
      </c>
      <c r="BD6">
        <v>0</v>
      </c>
      <c r="BE6" s="50">
        <v>1</v>
      </c>
      <c r="BF6" s="50">
        <v>0</v>
      </c>
      <c r="BG6" s="50">
        <v>1</v>
      </c>
      <c r="BH6" s="50">
        <v>0</v>
      </c>
      <c r="BI6">
        <v>-1</v>
      </c>
    </row>
    <row r="7" spans="1:61" ht="14.45" customHeight="1" x14ac:dyDescent="0.35">
      <c r="A7" s="53" t="s">
        <v>236</v>
      </c>
      <c r="B7" s="41" t="s">
        <v>241</v>
      </c>
      <c r="C7" t="s">
        <v>234</v>
      </c>
      <c r="D7" s="41" t="s">
        <v>242</v>
      </c>
      <c r="E7" s="42" t="s">
        <v>247</v>
      </c>
      <c r="F7" s="41" t="s">
        <v>248</v>
      </c>
      <c r="G7" s="50">
        <v>1</v>
      </c>
      <c r="H7">
        <v>30</v>
      </c>
      <c r="I7">
        <v>932</v>
      </c>
      <c r="J7" s="44">
        <v>44619.333333333299</v>
      </c>
      <c r="K7" s="44"/>
      <c r="L7" s="44"/>
      <c r="M7" s="44" t="s">
        <v>78</v>
      </c>
      <c r="N7" s="62" t="s">
        <v>69</v>
      </c>
      <c r="O7" s="62">
        <v>4876</v>
      </c>
      <c r="P7" s="50">
        <v>0</v>
      </c>
      <c r="Q7">
        <v>64513</v>
      </c>
      <c r="R7" s="43">
        <v>44610.817534722199</v>
      </c>
      <c r="S7" s="43">
        <v>44655.146886574097</v>
      </c>
      <c r="T7" s="45" t="s">
        <v>249</v>
      </c>
      <c r="U7" s="45" t="s">
        <v>250</v>
      </c>
      <c r="V7" s="66">
        <v>77279</v>
      </c>
      <c r="W7" s="50">
        <v>0</v>
      </c>
      <c r="X7">
        <v>255</v>
      </c>
      <c r="Y7" s="50">
        <v>0</v>
      </c>
      <c r="Z7" s="50">
        <v>0</v>
      </c>
      <c r="AA7" s="50">
        <v>0</v>
      </c>
      <c r="AB7" s="50">
        <v>0</v>
      </c>
      <c r="AC7" s="50">
        <v>0</v>
      </c>
      <c r="AD7">
        <v>0</v>
      </c>
      <c r="AE7" s="43"/>
      <c r="AF7" s="50">
        <v>0</v>
      </c>
      <c r="AG7">
        <v>0</v>
      </c>
      <c r="AH7">
        <v>2</v>
      </c>
      <c r="AI7" s="50">
        <v>0</v>
      </c>
      <c r="AJ7"/>
      <c r="AK7"/>
      <c r="AL7" s="50">
        <v>1</v>
      </c>
      <c r="AM7" s="50">
        <v>1</v>
      </c>
      <c r="AN7">
        <v>0</v>
      </c>
      <c r="AO7" s="50">
        <v>0</v>
      </c>
      <c r="AP7" s="50">
        <v>0</v>
      </c>
      <c r="AQ7" s="50">
        <v>0</v>
      </c>
      <c r="AR7"/>
      <c r="AS7">
        <v>0</v>
      </c>
      <c r="AT7" s="50">
        <v>0</v>
      </c>
      <c r="AU7" s="50">
        <v>0</v>
      </c>
      <c r="AV7" s="50">
        <v>0</v>
      </c>
      <c r="AW7"/>
      <c r="AX7" s="50">
        <v>0</v>
      </c>
      <c r="AY7"/>
      <c r="AZ7"/>
      <c r="BA7" s="50">
        <v>0</v>
      </c>
      <c r="BB7" s="50">
        <v>0</v>
      </c>
      <c r="BC7">
        <v>0</v>
      </c>
      <c r="BD7">
        <v>0</v>
      </c>
      <c r="BE7" s="50">
        <v>1</v>
      </c>
      <c r="BF7" s="50">
        <v>0</v>
      </c>
      <c r="BG7" s="50">
        <v>1</v>
      </c>
      <c r="BH7" s="50">
        <v>0</v>
      </c>
      <c r="BI7">
        <v>-1</v>
      </c>
    </row>
    <row r="8" spans="1:61" ht="14.45" customHeight="1" x14ac:dyDescent="0.35">
      <c r="A8" s="53" t="s">
        <v>236</v>
      </c>
      <c r="B8" s="41" t="s">
        <v>241</v>
      </c>
      <c r="C8" t="s">
        <v>234</v>
      </c>
      <c r="D8" s="41" t="s">
        <v>242</v>
      </c>
      <c r="E8" s="42" t="s">
        <v>278</v>
      </c>
      <c r="F8" s="41" t="s">
        <v>279</v>
      </c>
      <c r="G8" s="50">
        <v>1</v>
      </c>
      <c r="H8">
        <v>10</v>
      </c>
      <c r="I8">
        <v>0</v>
      </c>
      <c r="J8" s="44">
        <v>44625.333321759303</v>
      </c>
      <c r="K8" s="44"/>
      <c r="L8" s="44"/>
      <c r="M8" s="44" t="s">
        <v>73</v>
      </c>
      <c r="N8" s="62" t="s">
        <v>69</v>
      </c>
      <c r="O8" s="62">
        <v>0</v>
      </c>
      <c r="P8" s="50">
        <v>0</v>
      </c>
      <c r="Q8">
        <v>64513</v>
      </c>
      <c r="R8" s="43">
        <v>44620.807812500003</v>
      </c>
      <c r="S8" s="43">
        <v>44679.9086805556</v>
      </c>
      <c r="T8" s="45" t="s">
        <v>280</v>
      </c>
      <c r="U8" s="45" t="s">
        <v>281</v>
      </c>
      <c r="V8" s="66">
        <v>77279</v>
      </c>
      <c r="W8" s="50">
        <v>0</v>
      </c>
      <c r="X8">
        <v>255</v>
      </c>
      <c r="Y8" s="50">
        <v>0</v>
      </c>
      <c r="Z8" s="50">
        <v>0</v>
      </c>
      <c r="AA8" s="50">
        <v>0</v>
      </c>
      <c r="AB8" s="50">
        <v>0</v>
      </c>
      <c r="AC8" s="50">
        <v>0</v>
      </c>
      <c r="AD8">
        <v>0</v>
      </c>
      <c r="AE8" s="43"/>
      <c r="AF8" s="50">
        <v>0</v>
      </c>
      <c r="AG8">
        <v>0</v>
      </c>
      <c r="AH8">
        <v>3</v>
      </c>
      <c r="AI8" s="50">
        <v>0</v>
      </c>
      <c r="AJ8"/>
      <c r="AK8"/>
      <c r="AL8" s="50">
        <v>1</v>
      </c>
      <c r="AM8" s="50">
        <v>1</v>
      </c>
      <c r="AN8">
        <v>0</v>
      </c>
      <c r="AO8" s="50">
        <v>0</v>
      </c>
      <c r="AP8" s="50">
        <v>0</v>
      </c>
      <c r="AQ8" s="50">
        <v>0</v>
      </c>
      <c r="AR8"/>
      <c r="AS8">
        <v>0</v>
      </c>
      <c r="AT8" s="50">
        <v>0</v>
      </c>
      <c r="AU8" s="50">
        <v>0</v>
      </c>
      <c r="AV8" s="50">
        <v>0</v>
      </c>
      <c r="AW8"/>
      <c r="AX8" s="50">
        <v>0</v>
      </c>
      <c r="AY8"/>
      <c r="AZ8"/>
      <c r="BA8" s="50">
        <v>0</v>
      </c>
      <c r="BB8" s="50">
        <v>0</v>
      </c>
      <c r="BC8">
        <v>0</v>
      </c>
      <c r="BD8">
        <v>0</v>
      </c>
      <c r="BE8" s="50">
        <v>1</v>
      </c>
      <c r="BF8" s="50">
        <v>0</v>
      </c>
      <c r="BG8" s="50">
        <v>1</v>
      </c>
      <c r="BH8" s="50">
        <v>0</v>
      </c>
      <c r="BI8">
        <v>-1</v>
      </c>
    </row>
    <row r="9" spans="1:61" ht="14.45" customHeight="1" x14ac:dyDescent="0.35">
      <c r="A9" s="53" t="s">
        <v>236</v>
      </c>
      <c r="B9" s="41" t="s">
        <v>241</v>
      </c>
      <c r="C9" t="s">
        <v>234</v>
      </c>
      <c r="D9" s="41" t="s">
        <v>242</v>
      </c>
      <c r="E9" s="42" t="s">
        <v>282</v>
      </c>
      <c r="F9" s="41" t="s">
        <v>283</v>
      </c>
      <c r="G9" s="50">
        <v>1</v>
      </c>
      <c r="H9">
        <v>10</v>
      </c>
      <c r="I9">
        <v>0</v>
      </c>
      <c r="J9" s="44">
        <v>44629.333321759303</v>
      </c>
      <c r="K9" s="44"/>
      <c r="L9" s="44"/>
      <c r="M9" s="44" t="s">
        <v>73</v>
      </c>
      <c r="N9" s="62" t="s">
        <v>69</v>
      </c>
      <c r="O9" s="62">
        <v>0</v>
      </c>
      <c r="P9" s="50">
        <v>0</v>
      </c>
      <c r="Q9">
        <v>64513</v>
      </c>
      <c r="R9" s="43">
        <v>44620.831365740698</v>
      </c>
      <c r="S9" s="43">
        <v>44690.246759259302</v>
      </c>
      <c r="T9" s="45" t="s">
        <v>284</v>
      </c>
      <c r="U9" s="45" t="s">
        <v>285</v>
      </c>
      <c r="V9" s="66">
        <v>77279</v>
      </c>
      <c r="W9" s="50">
        <v>0</v>
      </c>
      <c r="X9">
        <v>255</v>
      </c>
      <c r="Y9" s="50">
        <v>0</v>
      </c>
      <c r="Z9" s="50">
        <v>0</v>
      </c>
      <c r="AA9" s="50">
        <v>0</v>
      </c>
      <c r="AB9" s="50">
        <v>0</v>
      </c>
      <c r="AC9" s="50">
        <v>0</v>
      </c>
      <c r="AD9">
        <v>0</v>
      </c>
      <c r="AE9" s="43"/>
      <c r="AF9" s="50">
        <v>0</v>
      </c>
      <c r="AG9">
        <v>0</v>
      </c>
      <c r="AH9">
        <v>4</v>
      </c>
      <c r="AI9" s="50">
        <v>0</v>
      </c>
      <c r="AJ9"/>
      <c r="AK9"/>
      <c r="AL9" s="50">
        <v>1</v>
      </c>
      <c r="AM9" s="50">
        <v>1</v>
      </c>
      <c r="AN9">
        <v>0</v>
      </c>
      <c r="AO9" s="50">
        <v>0</v>
      </c>
      <c r="AP9" s="50">
        <v>0</v>
      </c>
      <c r="AQ9" s="50">
        <v>0</v>
      </c>
      <c r="AR9"/>
      <c r="AS9">
        <v>0</v>
      </c>
      <c r="AT9" s="50">
        <v>0</v>
      </c>
      <c r="AU9" s="50">
        <v>0</v>
      </c>
      <c r="AV9" s="50">
        <v>0</v>
      </c>
      <c r="AW9"/>
      <c r="AX9" s="50">
        <v>0</v>
      </c>
      <c r="AY9"/>
      <c r="AZ9"/>
      <c r="BA9" s="50">
        <v>0</v>
      </c>
      <c r="BB9" s="50">
        <v>0</v>
      </c>
      <c r="BC9">
        <v>0</v>
      </c>
      <c r="BD9">
        <v>0</v>
      </c>
      <c r="BE9" s="50">
        <v>1</v>
      </c>
      <c r="BF9" s="50">
        <v>0</v>
      </c>
      <c r="BG9" s="50">
        <v>1</v>
      </c>
      <c r="BH9" s="50">
        <v>0</v>
      </c>
      <c r="BI9">
        <v>-1</v>
      </c>
    </row>
    <row r="10" spans="1:61" ht="18" x14ac:dyDescent="0.35">
      <c r="A10" s="53" t="s">
        <v>236</v>
      </c>
      <c r="B10" s="41" t="s">
        <v>241</v>
      </c>
      <c r="C10" t="s">
        <v>234</v>
      </c>
      <c r="D10" s="41" t="s">
        <v>242</v>
      </c>
      <c r="E10" s="42" t="s">
        <v>286</v>
      </c>
      <c r="F10" s="41" t="s">
        <v>287</v>
      </c>
      <c r="G10" s="50">
        <v>1</v>
      </c>
      <c r="H10">
        <v>10</v>
      </c>
      <c r="I10">
        <v>0</v>
      </c>
      <c r="J10" s="44">
        <v>44631.333321759303</v>
      </c>
      <c r="K10" s="44"/>
      <c r="L10" s="44"/>
      <c r="M10" s="44" t="s">
        <v>73</v>
      </c>
      <c r="N10" s="62" t="s">
        <v>69</v>
      </c>
      <c r="O10" s="62">
        <v>0</v>
      </c>
      <c r="P10" s="50">
        <v>0</v>
      </c>
      <c r="Q10">
        <v>64513</v>
      </c>
      <c r="R10" s="43">
        <v>44623.0385648148</v>
      </c>
      <c r="S10" s="43">
        <v>44690.246192129598</v>
      </c>
      <c r="T10" s="45" t="s">
        <v>288</v>
      </c>
      <c r="U10" s="45" t="s">
        <v>289</v>
      </c>
      <c r="V10" s="66">
        <v>77279</v>
      </c>
      <c r="W10" s="50">
        <v>0</v>
      </c>
      <c r="X10">
        <v>255</v>
      </c>
      <c r="Y10" s="50">
        <v>0</v>
      </c>
      <c r="Z10" s="50">
        <v>0</v>
      </c>
      <c r="AA10" s="50">
        <v>0</v>
      </c>
      <c r="AB10" s="50">
        <v>0</v>
      </c>
      <c r="AC10" s="50">
        <v>0</v>
      </c>
      <c r="AD10">
        <v>0</v>
      </c>
      <c r="AE10" s="43"/>
      <c r="AF10" s="50">
        <v>0</v>
      </c>
      <c r="AG10">
        <v>0</v>
      </c>
      <c r="AH10">
        <v>5</v>
      </c>
      <c r="AI10" s="50">
        <v>0</v>
      </c>
      <c r="AJ10"/>
      <c r="AK10"/>
      <c r="AL10" s="50">
        <v>1</v>
      </c>
      <c r="AM10" s="50">
        <v>1</v>
      </c>
      <c r="AN10">
        <v>0</v>
      </c>
      <c r="AO10" s="50">
        <v>0</v>
      </c>
      <c r="AP10" s="50">
        <v>0</v>
      </c>
      <c r="AQ10" s="50">
        <v>0</v>
      </c>
      <c r="AR10"/>
      <c r="AS10">
        <v>0</v>
      </c>
      <c r="AT10" s="50">
        <v>0</v>
      </c>
      <c r="AU10" s="50">
        <v>0</v>
      </c>
      <c r="AV10" s="50">
        <v>0</v>
      </c>
      <c r="AW10"/>
      <c r="AX10" s="50">
        <v>0</v>
      </c>
      <c r="AY10"/>
      <c r="AZ10"/>
      <c r="BA10" s="50">
        <v>0</v>
      </c>
      <c r="BB10" s="50">
        <v>0</v>
      </c>
      <c r="BC10">
        <v>0</v>
      </c>
      <c r="BD10">
        <v>0</v>
      </c>
      <c r="BE10" s="50">
        <v>1</v>
      </c>
      <c r="BF10" s="50">
        <v>0</v>
      </c>
      <c r="BG10" s="50">
        <v>1</v>
      </c>
      <c r="BH10" s="50">
        <v>0</v>
      </c>
      <c r="BI10">
        <v>-1</v>
      </c>
    </row>
    <row r="11" spans="1:61" ht="18" x14ac:dyDescent="0.35">
      <c r="A11" s="53" t="s">
        <v>236</v>
      </c>
      <c r="B11" s="41" t="s">
        <v>241</v>
      </c>
      <c r="C11" t="s">
        <v>234</v>
      </c>
      <c r="D11" s="41" t="s">
        <v>242</v>
      </c>
      <c r="E11" s="42" t="s">
        <v>290</v>
      </c>
      <c r="F11" s="41" t="s">
        <v>291</v>
      </c>
      <c r="G11" s="50">
        <v>1</v>
      </c>
      <c r="H11">
        <v>12</v>
      </c>
      <c r="I11">
        <v>339</v>
      </c>
      <c r="J11" s="44">
        <v>44636.291655092602</v>
      </c>
      <c r="K11" s="44"/>
      <c r="L11" s="44"/>
      <c r="M11" s="44" t="s">
        <v>77</v>
      </c>
      <c r="N11" s="62" t="s">
        <v>69</v>
      </c>
      <c r="O11" s="62">
        <v>0</v>
      </c>
      <c r="P11" s="50">
        <v>0</v>
      </c>
      <c r="Q11">
        <v>64513</v>
      </c>
      <c r="R11" s="43">
        <v>44623.045196759304</v>
      </c>
      <c r="S11" s="43">
        <v>44655.145497685196</v>
      </c>
      <c r="T11" s="45" t="s">
        <v>292</v>
      </c>
      <c r="U11" s="45" t="s">
        <v>293</v>
      </c>
      <c r="V11" s="66">
        <v>77279</v>
      </c>
      <c r="W11" s="50">
        <v>0</v>
      </c>
      <c r="X11">
        <v>255</v>
      </c>
      <c r="Y11" s="50">
        <v>0</v>
      </c>
      <c r="Z11" s="50">
        <v>0</v>
      </c>
      <c r="AA11" s="50">
        <v>0</v>
      </c>
      <c r="AB11" s="50">
        <v>0</v>
      </c>
      <c r="AC11" s="50">
        <v>0</v>
      </c>
      <c r="AD11">
        <v>0</v>
      </c>
      <c r="AE11" s="43"/>
      <c r="AF11" s="50">
        <v>0</v>
      </c>
      <c r="AG11">
        <v>0</v>
      </c>
      <c r="AH11">
        <v>6</v>
      </c>
      <c r="AI11" s="50">
        <v>0</v>
      </c>
      <c r="AJ11"/>
      <c r="AK11"/>
      <c r="AL11" s="50">
        <v>1</v>
      </c>
      <c r="AM11" s="50">
        <v>1</v>
      </c>
      <c r="AN11">
        <v>0</v>
      </c>
      <c r="AO11" s="50">
        <v>0</v>
      </c>
      <c r="AP11" s="50">
        <v>0</v>
      </c>
      <c r="AQ11" s="50">
        <v>0</v>
      </c>
      <c r="AR11"/>
      <c r="AS11">
        <v>95293</v>
      </c>
      <c r="AT11" s="50">
        <v>0</v>
      </c>
      <c r="AU11" s="50">
        <v>0</v>
      </c>
      <c r="AV11" s="50">
        <v>0</v>
      </c>
      <c r="AW11"/>
      <c r="AX11" s="50">
        <v>0</v>
      </c>
      <c r="AY11"/>
      <c r="AZ11"/>
      <c r="BA11" s="50">
        <v>0</v>
      </c>
      <c r="BB11" s="50">
        <v>0</v>
      </c>
      <c r="BC11">
        <v>0</v>
      </c>
      <c r="BD11">
        <v>0</v>
      </c>
      <c r="BE11" s="50">
        <v>1</v>
      </c>
      <c r="BF11" s="50">
        <v>0</v>
      </c>
      <c r="BG11" s="50">
        <v>1</v>
      </c>
      <c r="BH11" s="50">
        <v>0</v>
      </c>
      <c r="BI11">
        <v>-1</v>
      </c>
    </row>
    <row r="12" spans="1:61" ht="18" x14ac:dyDescent="0.35">
      <c r="A12" s="53" t="s">
        <v>236</v>
      </c>
      <c r="B12" s="41" t="s">
        <v>241</v>
      </c>
      <c r="C12" t="s">
        <v>234</v>
      </c>
      <c r="D12" s="41" t="s">
        <v>242</v>
      </c>
      <c r="E12" s="42" t="s">
        <v>294</v>
      </c>
      <c r="F12" s="41" t="s">
        <v>295</v>
      </c>
      <c r="G12" s="50">
        <v>1</v>
      </c>
      <c r="H12">
        <v>14</v>
      </c>
      <c r="I12">
        <v>0</v>
      </c>
      <c r="J12" s="44">
        <v>44639.291655092602</v>
      </c>
      <c r="K12" s="44"/>
      <c r="L12" s="44"/>
      <c r="M12" s="44" t="s">
        <v>73</v>
      </c>
      <c r="N12" s="62" t="s">
        <v>69</v>
      </c>
      <c r="O12" s="62">
        <v>0</v>
      </c>
      <c r="P12" s="50">
        <v>0</v>
      </c>
      <c r="Q12">
        <v>64513</v>
      </c>
      <c r="R12" s="43">
        <v>44623.8126388889</v>
      </c>
      <c r="S12" s="43">
        <v>44704.845740740697</v>
      </c>
      <c r="T12" s="45" t="s">
        <v>296</v>
      </c>
      <c r="U12" s="45" t="s">
        <v>297</v>
      </c>
      <c r="V12" s="66">
        <v>77279</v>
      </c>
      <c r="W12" s="50">
        <v>0</v>
      </c>
      <c r="X12">
        <v>255</v>
      </c>
      <c r="Y12" s="50">
        <v>0</v>
      </c>
      <c r="Z12" s="50">
        <v>0</v>
      </c>
      <c r="AA12" s="50">
        <v>0</v>
      </c>
      <c r="AB12" s="50">
        <v>0</v>
      </c>
      <c r="AC12" s="50">
        <v>0</v>
      </c>
      <c r="AD12">
        <v>0</v>
      </c>
      <c r="AE12" s="43"/>
      <c r="AF12" s="50">
        <v>0</v>
      </c>
      <c r="AG12">
        <v>0</v>
      </c>
      <c r="AH12">
        <v>7</v>
      </c>
      <c r="AI12" s="50">
        <v>0</v>
      </c>
      <c r="AJ12"/>
      <c r="AK12"/>
      <c r="AL12" s="50">
        <v>1</v>
      </c>
      <c r="AM12" s="50">
        <v>1</v>
      </c>
      <c r="AN12">
        <v>0</v>
      </c>
      <c r="AO12" s="50">
        <v>0</v>
      </c>
      <c r="AP12" s="50">
        <v>0</v>
      </c>
      <c r="AQ12" s="50">
        <v>0</v>
      </c>
      <c r="AR12"/>
      <c r="AS12">
        <v>0</v>
      </c>
      <c r="AT12" s="50">
        <v>0</v>
      </c>
      <c r="AU12" s="50">
        <v>0</v>
      </c>
      <c r="AV12" s="50">
        <v>0</v>
      </c>
      <c r="AW12"/>
      <c r="AX12" s="50">
        <v>0</v>
      </c>
      <c r="AY12"/>
      <c r="AZ12"/>
      <c r="BA12" s="50">
        <v>0</v>
      </c>
      <c r="BB12" s="50">
        <v>0</v>
      </c>
      <c r="BC12">
        <v>0</v>
      </c>
      <c r="BD12">
        <v>0</v>
      </c>
      <c r="BE12" s="50">
        <v>1</v>
      </c>
      <c r="BF12" s="50">
        <v>0</v>
      </c>
      <c r="BG12" s="50">
        <v>1</v>
      </c>
      <c r="BH12" s="50">
        <v>0</v>
      </c>
      <c r="BI12">
        <v>-1</v>
      </c>
    </row>
    <row r="13" spans="1:61" ht="18" x14ac:dyDescent="0.35">
      <c r="A13" s="53" t="s">
        <v>236</v>
      </c>
      <c r="B13" s="41" t="s">
        <v>241</v>
      </c>
      <c r="C13" t="s">
        <v>234</v>
      </c>
      <c r="D13" s="41" t="s">
        <v>242</v>
      </c>
      <c r="E13" s="42" t="s">
        <v>298</v>
      </c>
      <c r="F13" s="41" t="s">
        <v>299</v>
      </c>
      <c r="G13" s="50">
        <v>1</v>
      </c>
      <c r="H13">
        <v>10</v>
      </c>
      <c r="I13">
        <v>0</v>
      </c>
      <c r="J13" s="44">
        <v>44645.291655092602</v>
      </c>
      <c r="K13" s="44"/>
      <c r="L13" s="44"/>
      <c r="M13" s="44" t="s">
        <v>73</v>
      </c>
      <c r="N13" s="62" t="s">
        <v>69</v>
      </c>
      <c r="O13" s="62">
        <v>0</v>
      </c>
      <c r="P13" s="50">
        <v>0</v>
      </c>
      <c r="Q13">
        <v>64513</v>
      </c>
      <c r="R13" s="43">
        <v>44623.9706365741</v>
      </c>
      <c r="S13" s="43">
        <v>44704.845798611103</v>
      </c>
      <c r="T13" s="45" t="s">
        <v>300</v>
      </c>
      <c r="U13" s="45" t="s">
        <v>301</v>
      </c>
      <c r="V13" s="66">
        <v>77279</v>
      </c>
      <c r="W13" s="50">
        <v>0</v>
      </c>
      <c r="X13">
        <v>255</v>
      </c>
      <c r="Y13" s="50">
        <v>0</v>
      </c>
      <c r="Z13" s="50">
        <v>0</v>
      </c>
      <c r="AA13" s="50">
        <v>0</v>
      </c>
      <c r="AB13" s="50">
        <v>0</v>
      </c>
      <c r="AC13" s="50">
        <v>0</v>
      </c>
      <c r="AD13">
        <v>0</v>
      </c>
      <c r="AE13" s="43"/>
      <c r="AF13" s="50">
        <v>0</v>
      </c>
      <c r="AG13">
        <v>0</v>
      </c>
      <c r="AH13">
        <v>8</v>
      </c>
      <c r="AI13" s="50">
        <v>0</v>
      </c>
      <c r="AJ13"/>
      <c r="AK13"/>
      <c r="AL13" s="50">
        <v>1</v>
      </c>
      <c r="AM13" s="50">
        <v>1</v>
      </c>
      <c r="AN13">
        <v>0</v>
      </c>
      <c r="AO13" s="50">
        <v>0</v>
      </c>
      <c r="AP13" s="50">
        <v>0</v>
      </c>
      <c r="AQ13" s="50">
        <v>0</v>
      </c>
      <c r="AR13"/>
      <c r="AS13">
        <v>0</v>
      </c>
      <c r="AT13" s="50">
        <v>0</v>
      </c>
      <c r="AU13" s="50">
        <v>0</v>
      </c>
      <c r="AV13" s="50">
        <v>0</v>
      </c>
      <c r="AW13"/>
      <c r="AX13" s="50">
        <v>0</v>
      </c>
      <c r="AY13"/>
      <c r="AZ13"/>
      <c r="BA13" s="50">
        <v>0</v>
      </c>
      <c r="BB13" s="50">
        <v>0</v>
      </c>
      <c r="BC13">
        <v>0</v>
      </c>
      <c r="BD13">
        <v>0</v>
      </c>
      <c r="BE13" s="50">
        <v>1</v>
      </c>
      <c r="BF13" s="50">
        <v>0</v>
      </c>
      <c r="BG13" s="50">
        <v>1</v>
      </c>
      <c r="BH13" s="50">
        <v>0</v>
      </c>
      <c r="BI13">
        <v>-1</v>
      </c>
    </row>
    <row r="14" spans="1:61" ht="18" x14ac:dyDescent="0.35">
      <c r="A14" s="53" t="s">
        <v>236</v>
      </c>
      <c r="B14" s="41" t="s">
        <v>241</v>
      </c>
      <c r="C14" t="s">
        <v>234</v>
      </c>
      <c r="D14" s="41" t="s">
        <v>242</v>
      </c>
      <c r="E14" s="42" t="s">
        <v>302</v>
      </c>
      <c r="F14" s="41" t="s">
        <v>303</v>
      </c>
      <c r="G14" s="50">
        <v>1</v>
      </c>
      <c r="H14">
        <v>10</v>
      </c>
      <c r="I14">
        <v>0</v>
      </c>
      <c r="J14" s="44">
        <v>44650.291655092602</v>
      </c>
      <c r="K14" s="44"/>
      <c r="L14" s="44"/>
      <c r="M14" s="44" t="s">
        <v>73</v>
      </c>
      <c r="N14" s="62" t="s">
        <v>69</v>
      </c>
      <c r="O14" s="62">
        <v>0</v>
      </c>
      <c r="P14" s="50">
        <v>0</v>
      </c>
      <c r="Q14">
        <v>64513</v>
      </c>
      <c r="R14" s="43">
        <v>44627.0395601852</v>
      </c>
      <c r="S14" s="43">
        <v>44704.845844907402</v>
      </c>
      <c r="T14" s="45" t="s">
        <v>304</v>
      </c>
      <c r="U14" s="45" t="s">
        <v>305</v>
      </c>
      <c r="V14" s="66">
        <v>77279</v>
      </c>
      <c r="W14" s="50">
        <v>0</v>
      </c>
      <c r="X14">
        <v>255</v>
      </c>
      <c r="Y14" s="50">
        <v>0</v>
      </c>
      <c r="Z14" s="50">
        <v>0</v>
      </c>
      <c r="AA14" s="50">
        <v>0</v>
      </c>
      <c r="AB14" s="50">
        <v>0</v>
      </c>
      <c r="AC14" s="50">
        <v>0</v>
      </c>
      <c r="AD14">
        <v>0</v>
      </c>
      <c r="AE14" s="43"/>
      <c r="AF14" s="50">
        <v>0</v>
      </c>
      <c r="AG14">
        <v>0</v>
      </c>
      <c r="AH14">
        <v>9</v>
      </c>
      <c r="AI14" s="50">
        <v>0</v>
      </c>
      <c r="AJ14"/>
      <c r="AK14"/>
      <c r="AL14" s="50">
        <v>1</v>
      </c>
      <c r="AM14" s="50">
        <v>1</v>
      </c>
      <c r="AN14">
        <v>0</v>
      </c>
      <c r="AO14" s="50">
        <v>0</v>
      </c>
      <c r="AP14" s="50">
        <v>0</v>
      </c>
      <c r="AQ14" s="50">
        <v>0</v>
      </c>
      <c r="AR14"/>
      <c r="AS14">
        <v>0</v>
      </c>
      <c r="AT14" s="50">
        <v>0</v>
      </c>
      <c r="AU14" s="50">
        <v>0</v>
      </c>
      <c r="AV14" s="50">
        <v>0</v>
      </c>
      <c r="AW14"/>
      <c r="AX14" s="50">
        <v>0</v>
      </c>
      <c r="AY14"/>
      <c r="AZ14"/>
      <c r="BA14" s="50">
        <v>0</v>
      </c>
      <c r="BB14" s="50">
        <v>0</v>
      </c>
      <c r="BC14">
        <v>0</v>
      </c>
      <c r="BD14">
        <v>0</v>
      </c>
      <c r="BE14" s="50">
        <v>1</v>
      </c>
      <c r="BF14" s="50">
        <v>0</v>
      </c>
      <c r="BG14" s="50">
        <v>1</v>
      </c>
      <c r="BH14" s="50">
        <v>0</v>
      </c>
      <c r="BI14">
        <v>-1</v>
      </c>
    </row>
    <row r="15" spans="1:61" ht="18" x14ac:dyDescent="0.35">
      <c r="A15" s="53" t="s">
        <v>236</v>
      </c>
      <c r="B15" s="41" t="s">
        <v>241</v>
      </c>
      <c r="C15" t="s">
        <v>234</v>
      </c>
      <c r="D15" s="41" t="s">
        <v>242</v>
      </c>
      <c r="E15" s="42" t="s">
        <v>306</v>
      </c>
      <c r="F15" s="41" t="s">
        <v>307</v>
      </c>
      <c r="G15" s="50">
        <v>1</v>
      </c>
      <c r="H15">
        <v>10</v>
      </c>
      <c r="I15">
        <v>0</v>
      </c>
      <c r="J15" s="44">
        <v>44656.291666666701</v>
      </c>
      <c r="K15" s="44"/>
      <c r="L15" s="44"/>
      <c r="M15" s="44" t="s">
        <v>73</v>
      </c>
      <c r="N15" s="62" t="s">
        <v>69</v>
      </c>
      <c r="O15" s="62">
        <v>0</v>
      </c>
      <c r="P15" s="50">
        <v>0</v>
      </c>
      <c r="Q15">
        <v>64513</v>
      </c>
      <c r="R15" s="43">
        <v>44630.884490740696</v>
      </c>
      <c r="S15" s="43">
        <v>44704.845937500002</v>
      </c>
      <c r="T15" s="45" t="s">
        <v>308</v>
      </c>
      <c r="U15" s="45" t="s">
        <v>309</v>
      </c>
      <c r="V15" s="66">
        <v>77279</v>
      </c>
      <c r="W15" s="50">
        <v>0</v>
      </c>
      <c r="X15">
        <v>255</v>
      </c>
      <c r="Y15" s="50">
        <v>0</v>
      </c>
      <c r="Z15" s="50">
        <v>0</v>
      </c>
      <c r="AA15" s="50">
        <v>0</v>
      </c>
      <c r="AB15" s="50">
        <v>0</v>
      </c>
      <c r="AC15" s="50">
        <v>0</v>
      </c>
      <c r="AD15">
        <v>0</v>
      </c>
      <c r="AE15" s="43"/>
      <c r="AF15" s="50">
        <v>0</v>
      </c>
      <c r="AG15">
        <v>0</v>
      </c>
      <c r="AH15">
        <v>10</v>
      </c>
      <c r="AI15" s="50">
        <v>0</v>
      </c>
      <c r="AJ15"/>
      <c r="AK15"/>
      <c r="AL15" s="50">
        <v>1</v>
      </c>
      <c r="AM15" s="50">
        <v>1</v>
      </c>
      <c r="AN15">
        <v>0</v>
      </c>
      <c r="AO15" s="50">
        <v>0</v>
      </c>
      <c r="AP15" s="50">
        <v>0</v>
      </c>
      <c r="AQ15" s="50">
        <v>0</v>
      </c>
      <c r="AR15"/>
      <c r="AS15">
        <v>0</v>
      </c>
      <c r="AT15" s="50">
        <v>0</v>
      </c>
      <c r="AU15" s="50">
        <v>0</v>
      </c>
      <c r="AV15" s="50">
        <v>0</v>
      </c>
      <c r="AW15"/>
      <c r="AX15" s="50">
        <v>0</v>
      </c>
      <c r="AY15"/>
      <c r="AZ15"/>
      <c r="BA15" s="50">
        <v>0</v>
      </c>
      <c r="BB15" s="50">
        <v>0</v>
      </c>
      <c r="BC15">
        <v>0</v>
      </c>
      <c r="BD15">
        <v>0</v>
      </c>
      <c r="BE15" s="50">
        <v>1</v>
      </c>
      <c r="BF15" s="50">
        <v>0</v>
      </c>
      <c r="BG15" s="50">
        <v>1</v>
      </c>
      <c r="BH15" s="50">
        <v>0</v>
      </c>
      <c r="BI15">
        <v>-1</v>
      </c>
    </row>
    <row r="16" spans="1:61" ht="18" x14ac:dyDescent="0.35">
      <c r="A16" s="53" t="s">
        <v>236</v>
      </c>
      <c r="B16" s="41" t="s">
        <v>241</v>
      </c>
      <c r="C16" t="s">
        <v>234</v>
      </c>
      <c r="D16" s="41" t="s">
        <v>242</v>
      </c>
      <c r="E16" s="42" t="s">
        <v>310</v>
      </c>
      <c r="F16" s="41" t="s">
        <v>311</v>
      </c>
      <c r="G16" s="50">
        <v>1</v>
      </c>
      <c r="H16">
        <v>10</v>
      </c>
      <c r="I16">
        <v>0</v>
      </c>
      <c r="J16" s="44">
        <v>44658.291666666701</v>
      </c>
      <c r="K16" s="44"/>
      <c r="L16" s="44"/>
      <c r="M16" s="44" t="s">
        <v>73</v>
      </c>
      <c r="N16" s="62" t="s">
        <v>69</v>
      </c>
      <c r="O16" s="62">
        <v>0</v>
      </c>
      <c r="P16" s="50">
        <v>0</v>
      </c>
      <c r="Q16">
        <v>64513</v>
      </c>
      <c r="R16" s="43">
        <v>44634.927141203698</v>
      </c>
      <c r="S16" s="43">
        <v>44704.8459953704</v>
      </c>
      <c r="T16" s="45" t="s">
        <v>312</v>
      </c>
      <c r="U16" s="45" t="s">
        <v>313</v>
      </c>
      <c r="V16" s="66">
        <v>77279</v>
      </c>
      <c r="W16" s="50">
        <v>0</v>
      </c>
      <c r="X16">
        <v>255</v>
      </c>
      <c r="Y16" s="50">
        <v>0</v>
      </c>
      <c r="Z16" s="50">
        <v>0</v>
      </c>
      <c r="AA16" s="50">
        <v>0</v>
      </c>
      <c r="AB16" s="50">
        <v>0</v>
      </c>
      <c r="AC16" s="50">
        <v>0</v>
      </c>
      <c r="AD16">
        <v>0</v>
      </c>
      <c r="AE16" s="43"/>
      <c r="AF16" s="50">
        <v>0</v>
      </c>
      <c r="AG16">
        <v>0</v>
      </c>
      <c r="AH16">
        <v>11</v>
      </c>
      <c r="AI16" s="50">
        <v>0</v>
      </c>
      <c r="AJ16"/>
      <c r="AK16"/>
      <c r="AL16" s="50">
        <v>1</v>
      </c>
      <c r="AM16" s="50">
        <v>1</v>
      </c>
      <c r="AN16">
        <v>0</v>
      </c>
      <c r="AO16" s="50">
        <v>0</v>
      </c>
      <c r="AP16" s="50">
        <v>0</v>
      </c>
      <c r="AQ16" s="50">
        <v>0</v>
      </c>
      <c r="AR16"/>
      <c r="AS16">
        <v>0</v>
      </c>
      <c r="AT16" s="50">
        <v>0</v>
      </c>
      <c r="AU16" s="50">
        <v>0</v>
      </c>
      <c r="AV16" s="50">
        <v>0</v>
      </c>
      <c r="AW16"/>
      <c r="AX16" s="50">
        <v>0</v>
      </c>
      <c r="AY16"/>
      <c r="AZ16"/>
      <c r="BA16" s="50">
        <v>0</v>
      </c>
      <c r="BB16" s="50">
        <v>0</v>
      </c>
      <c r="BC16">
        <v>0</v>
      </c>
      <c r="BD16">
        <v>0</v>
      </c>
      <c r="BE16" s="50">
        <v>1</v>
      </c>
      <c r="BF16" s="50">
        <v>0</v>
      </c>
      <c r="BG16" s="50">
        <v>1</v>
      </c>
      <c r="BH16" s="50">
        <v>0</v>
      </c>
      <c r="BI16">
        <v>-1</v>
      </c>
    </row>
    <row r="17" spans="1:61" ht="18" x14ac:dyDescent="0.35">
      <c r="A17" s="53" t="s">
        <v>236</v>
      </c>
      <c r="B17" s="41" t="s">
        <v>241</v>
      </c>
      <c r="C17" t="s">
        <v>234</v>
      </c>
      <c r="D17" s="41" t="s">
        <v>242</v>
      </c>
      <c r="E17" s="42" t="s">
        <v>314</v>
      </c>
      <c r="F17" s="41" t="s">
        <v>315</v>
      </c>
      <c r="G17" s="50">
        <v>1</v>
      </c>
      <c r="H17">
        <v>10</v>
      </c>
      <c r="I17">
        <v>0</v>
      </c>
      <c r="J17" s="44">
        <v>44664.291666666701</v>
      </c>
      <c r="K17" s="44"/>
      <c r="L17" s="44"/>
      <c r="M17" s="44" t="s">
        <v>73</v>
      </c>
      <c r="N17" s="62" t="s">
        <v>69</v>
      </c>
      <c r="O17" s="62">
        <v>0</v>
      </c>
      <c r="P17" s="50">
        <v>0</v>
      </c>
      <c r="Q17">
        <v>64513</v>
      </c>
      <c r="R17" s="43">
        <v>44638.779456018499</v>
      </c>
      <c r="S17" s="43">
        <v>44722.7761342593</v>
      </c>
      <c r="T17" s="45" t="s">
        <v>316</v>
      </c>
      <c r="U17" s="45" t="s">
        <v>317</v>
      </c>
      <c r="V17" s="66">
        <v>77279</v>
      </c>
      <c r="W17" s="50">
        <v>0</v>
      </c>
      <c r="X17">
        <v>255</v>
      </c>
      <c r="Y17" s="50">
        <v>0</v>
      </c>
      <c r="Z17" s="50">
        <v>0</v>
      </c>
      <c r="AA17" s="50">
        <v>0</v>
      </c>
      <c r="AB17" s="50">
        <v>0</v>
      </c>
      <c r="AC17" s="50">
        <v>0</v>
      </c>
      <c r="AD17">
        <v>0</v>
      </c>
      <c r="AE17" s="43"/>
      <c r="AF17" s="50">
        <v>0</v>
      </c>
      <c r="AG17">
        <v>0</v>
      </c>
      <c r="AH17">
        <v>12</v>
      </c>
      <c r="AI17" s="50">
        <v>0</v>
      </c>
      <c r="AJ17"/>
      <c r="AK17"/>
      <c r="AL17" s="50">
        <v>0</v>
      </c>
      <c r="AM17" s="50">
        <v>1</v>
      </c>
      <c r="AN17">
        <v>0</v>
      </c>
      <c r="AO17" s="50">
        <v>0</v>
      </c>
      <c r="AP17" s="50">
        <v>0</v>
      </c>
      <c r="AQ17" s="50">
        <v>0</v>
      </c>
      <c r="AR17"/>
      <c r="AS17">
        <v>0</v>
      </c>
      <c r="AT17" s="50">
        <v>0</v>
      </c>
      <c r="AU17" s="50">
        <v>0</v>
      </c>
      <c r="AV17" s="50">
        <v>0</v>
      </c>
      <c r="AW17"/>
      <c r="AX17" s="50">
        <v>0</v>
      </c>
      <c r="AY17"/>
      <c r="AZ17"/>
      <c r="BA17" s="50">
        <v>0</v>
      </c>
      <c r="BB17" s="50">
        <v>0</v>
      </c>
      <c r="BC17">
        <v>0</v>
      </c>
      <c r="BD17">
        <v>0</v>
      </c>
      <c r="BE17" s="50">
        <v>1</v>
      </c>
      <c r="BF17" s="50">
        <v>0</v>
      </c>
      <c r="BG17" s="50">
        <v>1</v>
      </c>
      <c r="BH17" s="50">
        <v>0</v>
      </c>
      <c r="BI17">
        <v>-1</v>
      </c>
    </row>
    <row r="18" spans="1:61" ht="18" x14ac:dyDescent="0.35">
      <c r="A18" s="53" t="s">
        <v>236</v>
      </c>
      <c r="B18" s="41" t="s">
        <v>241</v>
      </c>
      <c r="C18" t="s">
        <v>234</v>
      </c>
      <c r="D18" s="41" t="s">
        <v>242</v>
      </c>
      <c r="E18" s="42" t="s">
        <v>318</v>
      </c>
      <c r="F18" s="41" t="s">
        <v>319</v>
      </c>
      <c r="G18" s="50">
        <v>1</v>
      </c>
      <c r="H18">
        <v>10</v>
      </c>
      <c r="I18">
        <v>0</v>
      </c>
      <c r="J18" s="44">
        <v>44666.291666666701</v>
      </c>
      <c r="K18" s="44"/>
      <c r="L18" s="44"/>
      <c r="M18" s="44" t="s">
        <v>73</v>
      </c>
      <c r="N18" s="62" t="s">
        <v>69</v>
      </c>
      <c r="O18" s="62">
        <v>0</v>
      </c>
      <c r="P18" s="50">
        <v>0</v>
      </c>
      <c r="Q18">
        <v>64513</v>
      </c>
      <c r="R18" s="43">
        <v>44649.844027777799</v>
      </c>
      <c r="S18" s="43">
        <v>44655.145532407398</v>
      </c>
      <c r="T18" s="45" t="s">
        <v>320</v>
      </c>
      <c r="U18" s="45" t="s">
        <v>321</v>
      </c>
      <c r="V18" s="66">
        <v>77279</v>
      </c>
      <c r="W18" s="50">
        <v>0</v>
      </c>
      <c r="X18">
        <v>255</v>
      </c>
      <c r="Y18" s="50">
        <v>0</v>
      </c>
      <c r="Z18" s="50">
        <v>0</v>
      </c>
      <c r="AA18" s="50">
        <v>0</v>
      </c>
      <c r="AB18" s="50">
        <v>0</v>
      </c>
      <c r="AC18" s="50">
        <v>0</v>
      </c>
      <c r="AD18">
        <v>0</v>
      </c>
      <c r="AE18" s="43"/>
      <c r="AF18" s="50">
        <v>0</v>
      </c>
      <c r="AG18">
        <v>0</v>
      </c>
      <c r="AH18">
        <v>13</v>
      </c>
      <c r="AI18" s="50">
        <v>0</v>
      </c>
      <c r="AJ18"/>
      <c r="AK18"/>
      <c r="AL18" s="50">
        <v>1</v>
      </c>
      <c r="AM18" s="50">
        <v>1</v>
      </c>
      <c r="AN18">
        <v>0</v>
      </c>
      <c r="AO18" s="50">
        <v>0</v>
      </c>
      <c r="AP18" s="50">
        <v>0</v>
      </c>
      <c r="AQ18" s="50">
        <v>0</v>
      </c>
      <c r="AR18"/>
      <c r="AS18">
        <v>0</v>
      </c>
      <c r="AT18" s="50">
        <v>0</v>
      </c>
      <c r="AU18" s="50">
        <v>0</v>
      </c>
      <c r="AV18" s="50">
        <v>0</v>
      </c>
      <c r="AW18"/>
      <c r="AX18" s="50">
        <v>0</v>
      </c>
      <c r="AY18"/>
      <c r="AZ18"/>
      <c r="BA18" s="50">
        <v>0</v>
      </c>
      <c r="BB18" s="50">
        <v>0</v>
      </c>
      <c r="BC18">
        <v>0</v>
      </c>
      <c r="BD18">
        <v>0</v>
      </c>
      <c r="BE18" s="50">
        <v>1</v>
      </c>
      <c r="BF18" s="50">
        <v>0</v>
      </c>
      <c r="BG18" s="50">
        <v>1</v>
      </c>
      <c r="BH18" s="50">
        <v>0</v>
      </c>
      <c r="BI18">
        <v>-1</v>
      </c>
    </row>
    <row r="19" spans="1:61" ht="18" x14ac:dyDescent="0.35">
      <c r="A19" s="53" t="s">
        <v>236</v>
      </c>
      <c r="B19" s="41" t="s">
        <v>241</v>
      </c>
      <c r="C19" t="s">
        <v>234</v>
      </c>
      <c r="D19" s="41" t="s">
        <v>242</v>
      </c>
      <c r="E19" s="42" t="s">
        <v>322</v>
      </c>
      <c r="F19" s="41" t="s">
        <v>323</v>
      </c>
      <c r="G19" s="50">
        <v>1</v>
      </c>
      <c r="H19">
        <v>10</v>
      </c>
      <c r="I19">
        <v>0</v>
      </c>
      <c r="J19" s="44">
        <v>44672.291655092602</v>
      </c>
      <c r="K19" s="44"/>
      <c r="L19" s="44"/>
      <c r="M19" s="44" t="s">
        <v>73</v>
      </c>
      <c r="N19" s="62" t="s">
        <v>69</v>
      </c>
      <c r="O19" s="62">
        <v>0</v>
      </c>
      <c r="P19" s="50">
        <v>0</v>
      </c>
      <c r="Q19">
        <v>64513</v>
      </c>
      <c r="R19" s="43">
        <v>44649.862743055601</v>
      </c>
      <c r="S19" s="43">
        <v>44655.145543981504</v>
      </c>
      <c r="T19" s="45" t="s">
        <v>324</v>
      </c>
      <c r="U19" s="45" t="s">
        <v>325</v>
      </c>
      <c r="V19" s="66">
        <v>77279</v>
      </c>
      <c r="W19" s="50">
        <v>0</v>
      </c>
      <c r="X19">
        <v>255</v>
      </c>
      <c r="Y19" s="50">
        <v>0</v>
      </c>
      <c r="Z19" s="50">
        <v>0</v>
      </c>
      <c r="AA19" s="50">
        <v>0</v>
      </c>
      <c r="AB19" s="50">
        <v>0</v>
      </c>
      <c r="AC19" s="50">
        <v>0</v>
      </c>
      <c r="AD19">
        <v>0</v>
      </c>
      <c r="AE19" s="43"/>
      <c r="AF19" s="50">
        <v>0</v>
      </c>
      <c r="AG19">
        <v>0</v>
      </c>
      <c r="AH19">
        <v>14</v>
      </c>
      <c r="AI19" s="50">
        <v>0</v>
      </c>
      <c r="AJ19"/>
      <c r="AK19"/>
      <c r="AL19" s="50">
        <v>1</v>
      </c>
      <c r="AM19" s="50">
        <v>1</v>
      </c>
      <c r="AN19">
        <v>0</v>
      </c>
      <c r="AO19" s="50">
        <v>0</v>
      </c>
      <c r="AP19" s="50">
        <v>0</v>
      </c>
      <c r="AQ19" s="50">
        <v>0</v>
      </c>
      <c r="AR19"/>
      <c r="AS19">
        <v>0</v>
      </c>
      <c r="AT19" s="50">
        <v>0</v>
      </c>
      <c r="AU19" s="50">
        <v>0</v>
      </c>
      <c r="AV19" s="50">
        <v>0</v>
      </c>
      <c r="AW19"/>
      <c r="AX19" s="50">
        <v>0</v>
      </c>
      <c r="AY19"/>
      <c r="AZ19"/>
      <c r="BA19" s="50">
        <v>0</v>
      </c>
      <c r="BB19" s="50">
        <v>0</v>
      </c>
      <c r="BC19">
        <v>0</v>
      </c>
      <c r="BD19">
        <v>0</v>
      </c>
      <c r="BE19" s="50">
        <v>1</v>
      </c>
      <c r="BF19" s="50">
        <v>0</v>
      </c>
      <c r="BG19" s="50">
        <v>1</v>
      </c>
      <c r="BH19" s="50">
        <v>0</v>
      </c>
      <c r="BI19">
        <v>-1</v>
      </c>
    </row>
    <row r="20" spans="1:61" ht="18" x14ac:dyDescent="0.35">
      <c r="A20" s="53" t="s">
        <v>236</v>
      </c>
      <c r="B20" s="41" t="s">
        <v>241</v>
      </c>
      <c r="C20" t="s">
        <v>234</v>
      </c>
      <c r="D20" s="41" t="s">
        <v>242</v>
      </c>
      <c r="E20" s="42" t="s">
        <v>326</v>
      </c>
      <c r="F20" s="41" t="s">
        <v>327</v>
      </c>
      <c r="G20" s="50">
        <v>1</v>
      </c>
      <c r="H20">
        <v>10</v>
      </c>
      <c r="I20">
        <v>0</v>
      </c>
      <c r="J20" s="44">
        <v>44674.291655092602</v>
      </c>
      <c r="K20" s="44"/>
      <c r="L20" s="44"/>
      <c r="M20" s="44" t="s">
        <v>73</v>
      </c>
      <c r="N20" s="62" t="s">
        <v>69</v>
      </c>
      <c r="O20" s="62">
        <v>0</v>
      </c>
      <c r="P20" s="50">
        <v>0</v>
      </c>
      <c r="Q20">
        <v>64513</v>
      </c>
      <c r="R20" s="43">
        <v>44651.811342592599</v>
      </c>
      <c r="S20" s="43">
        <v>44655.145543981504</v>
      </c>
      <c r="T20" s="45" t="s">
        <v>328</v>
      </c>
      <c r="U20" s="45" t="s">
        <v>329</v>
      </c>
      <c r="V20" s="66">
        <v>77279</v>
      </c>
      <c r="W20" s="50">
        <v>0</v>
      </c>
      <c r="X20">
        <v>255</v>
      </c>
      <c r="Y20" s="50">
        <v>0</v>
      </c>
      <c r="Z20" s="50">
        <v>0</v>
      </c>
      <c r="AA20" s="50">
        <v>0</v>
      </c>
      <c r="AB20" s="50">
        <v>0</v>
      </c>
      <c r="AC20" s="50">
        <v>0</v>
      </c>
      <c r="AD20">
        <v>0</v>
      </c>
      <c r="AE20" s="43"/>
      <c r="AF20" s="50">
        <v>0</v>
      </c>
      <c r="AG20">
        <v>0</v>
      </c>
      <c r="AH20">
        <v>15</v>
      </c>
      <c r="AI20" s="50">
        <v>0</v>
      </c>
      <c r="AJ20"/>
      <c r="AK20"/>
      <c r="AL20" s="50">
        <v>1</v>
      </c>
      <c r="AM20" s="50">
        <v>1</v>
      </c>
      <c r="AN20">
        <v>0</v>
      </c>
      <c r="AO20" s="50">
        <v>0</v>
      </c>
      <c r="AP20" s="50">
        <v>0</v>
      </c>
      <c r="AQ20" s="50">
        <v>0</v>
      </c>
      <c r="AR20"/>
      <c r="AS20">
        <v>0</v>
      </c>
      <c r="AT20" s="50">
        <v>0</v>
      </c>
      <c r="AU20" s="50">
        <v>0</v>
      </c>
      <c r="AV20" s="50">
        <v>0</v>
      </c>
      <c r="AW20"/>
      <c r="AX20" s="50">
        <v>0</v>
      </c>
      <c r="AY20"/>
      <c r="AZ20"/>
      <c r="BA20" s="50">
        <v>0</v>
      </c>
      <c r="BB20" s="50">
        <v>0</v>
      </c>
      <c r="BC20">
        <v>0</v>
      </c>
      <c r="BD20">
        <v>0</v>
      </c>
      <c r="BE20" s="50">
        <v>1</v>
      </c>
      <c r="BF20" s="50">
        <v>0</v>
      </c>
      <c r="BG20" s="50">
        <v>1</v>
      </c>
      <c r="BH20" s="50">
        <v>0</v>
      </c>
      <c r="BI20">
        <v>-1</v>
      </c>
    </row>
    <row r="21" spans="1:61" ht="18" x14ac:dyDescent="0.35">
      <c r="A21" s="53" t="s">
        <v>236</v>
      </c>
      <c r="B21" s="41" t="s">
        <v>241</v>
      </c>
      <c r="C21" t="s">
        <v>234</v>
      </c>
      <c r="D21" s="41" t="s">
        <v>242</v>
      </c>
      <c r="E21" s="42" t="s">
        <v>274</v>
      </c>
      <c r="F21" s="41" t="s">
        <v>275</v>
      </c>
      <c r="G21" s="50">
        <v>1</v>
      </c>
      <c r="H21">
        <v>10</v>
      </c>
      <c r="I21">
        <v>0</v>
      </c>
      <c r="J21" s="44"/>
      <c r="K21" s="44"/>
      <c r="L21" s="44"/>
      <c r="M21" s="44" t="s">
        <v>73</v>
      </c>
      <c r="N21" s="62" t="s">
        <v>69</v>
      </c>
      <c r="O21" s="62">
        <v>0</v>
      </c>
      <c r="P21" s="50">
        <v>0</v>
      </c>
      <c r="Q21">
        <v>64513</v>
      </c>
      <c r="R21" s="43">
        <v>44663.8766666667</v>
      </c>
      <c r="S21" s="43">
        <v>44704.939953703702</v>
      </c>
      <c r="T21" s="45" t="s">
        <v>276</v>
      </c>
      <c r="U21" s="45" t="s">
        <v>277</v>
      </c>
      <c r="V21" s="66">
        <v>77279</v>
      </c>
      <c r="W21" s="50">
        <v>0</v>
      </c>
      <c r="X21">
        <v>255</v>
      </c>
      <c r="Y21" s="50">
        <v>0</v>
      </c>
      <c r="Z21" s="50">
        <v>0</v>
      </c>
      <c r="AA21" s="50">
        <v>0</v>
      </c>
      <c r="AB21" s="50">
        <v>0</v>
      </c>
      <c r="AC21" s="50">
        <v>0</v>
      </c>
      <c r="AD21">
        <v>0</v>
      </c>
      <c r="AE21" s="43"/>
      <c r="AF21" s="50">
        <v>0</v>
      </c>
      <c r="AG21">
        <v>0</v>
      </c>
      <c r="AH21">
        <v>16</v>
      </c>
      <c r="AI21" s="50">
        <v>0</v>
      </c>
      <c r="AJ21"/>
      <c r="AK21"/>
      <c r="AL21" s="50">
        <v>0</v>
      </c>
      <c r="AM21" s="50">
        <v>1</v>
      </c>
      <c r="AN21">
        <v>0</v>
      </c>
      <c r="AO21" s="50">
        <v>0</v>
      </c>
      <c r="AP21" s="50">
        <v>0</v>
      </c>
      <c r="AQ21" s="50">
        <v>0</v>
      </c>
      <c r="AR21"/>
      <c r="AS21">
        <v>0</v>
      </c>
      <c r="AT21" s="50">
        <v>0</v>
      </c>
      <c r="AU21" s="50">
        <v>0</v>
      </c>
      <c r="AV21" s="50">
        <v>0</v>
      </c>
      <c r="AW21"/>
      <c r="AX21" s="50">
        <v>0</v>
      </c>
      <c r="AY21"/>
      <c r="AZ21"/>
      <c r="BA21" s="50">
        <v>0</v>
      </c>
      <c r="BB21" s="50">
        <v>0</v>
      </c>
      <c r="BC21">
        <v>0</v>
      </c>
      <c r="BD21">
        <v>0</v>
      </c>
      <c r="BE21" s="50">
        <v>1</v>
      </c>
      <c r="BF21" s="50">
        <v>0</v>
      </c>
      <c r="BG21" s="50">
        <v>1</v>
      </c>
      <c r="BH21" s="50">
        <v>0</v>
      </c>
      <c r="BI21">
        <v>-1</v>
      </c>
    </row>
    <row r="22" spans="1:61" ht="18" x14ac:dyDescent="0.35">
      <c r="A22" s="53" t="s">
        <v>236</v>
      </c>
      <c r="B22" s="41" t="s">
        <v>241</v>
      </c>
      <c r="C22" t="s">
        <v>234</v>
      </c>
      <c r="D22" s="41" t="s">
        <v>242</v>
      </c>
      <c r="E22" s="42" t="s">
        <v>455</v>
      </c>
      <c r="F22" s="41" t="s">
        <v>456</v>
      </c>
      <c r="G22" s="50">
        <v>1</v>
      </c>
      <c r="H22">
        <v>15</v>
      </c>
      <c r="I22">
        <v>260</v>
      </c>
      <c r="J22" s="44">
        <v>44688.291655092602</v>
      </c>
      <c r="K22" s="44"/>
      <c r="L22" s="44"/>
      <c r="M22" s="44" t="s">
        <v>74</v>
      </c>
      <c r="N22" s="62" t="s">
        <v>69</v>
      </c>
      <c r="O22" s="62">
        <v>5100</v>
      </c>
      <c r="P22" s="50">
        <v>0</v>
      </c>
      <c r="Q22">
        <v>64513</v>
      </c>
      <c r="R22" s="43">
        <v>44685.874780092599</v>
      </c>
      <c r="S22" s="43">
        <v>44712.919166666703</v>
      </c>
      <c r="T22" s="45" t="s">
        <v>457</v>
      </c>
      <c r="U22" s="45" t="s">
        <v>458</v>
      </c>
      <c r="V22" s="66">
        <v>77279</v>
      </c>
      <c r="W22" s="50">
        <v>0</v>
      </c>
      <c r="X22">
        <v>255</v>
      </c>
      <c r="Y22" s="50">
        <v>0</v>
      </c>
      <c r="Z22" s="50">
        <v>0</v>
      </c>
      <c r="AA22" s="50">
        <v>0</v>
      </c>
      <c r="AB22" s="50">
        <v>0</v>
      </c>
      <c r="AC22" s="50">
        <v>0</v>
      </c>
      <c r="AD22">
        <v>0</v>
      </c>
      <c r="AE22" s="43"/>
      <c r="AF22" s="50">
        <v>0</v>
      </c>
      <c r="AG22">
        <v>0</v>
      </c>
      <c r="AH22">
        <v>17</v>
      </c>
      <c r="AI22" s="50">
        <v>0</v>
      </c>
      <c r="AJ22"/>
      <c r="AK22"/>
      <c r="AL22" s="50">
        <v>0</v>
      </c>
      <c r="AM22" s="50">
        <v>1</v>
      </c>
      <c r="AN22">
        <v>0</v>
      </c>
      <c r="AO22" s="50">
        <v>0</v>
      </c>
      <c r="AP22" s="50">
        <v>0</v>
      </c>
      <c r="AQ22" s="50">
        <v>0</v>
      </c>
      <c r="AR22"/>
      <c r="AS22">
        <v>0</v>
      </c>
      <c r="AT22" s="50">
        <v>0</v>
      </c>
      <c r="AU22" s="50">
        <v>0</v>
      </c>
      <c r="AV22" s="50">
        <v>0</v>
      </c>
      <c r="AW22"/>
      <c r="AX22" s="50">
        <v>0</v>
      </c>
      <c r="AY22"/>
      <c r="AZ22"/>
      <c r="BA22" s="50">
        <v>0</v>
      </c>
      <c r="BB22" s="50">
        <v>0</v>
      </c>
      <c r="BC22">
        <v>0</v>
      </c>
      <c r="BD22">
        <v>0</v>
      </c>
      <c r="BE22" s="50">
        <v>1</v>
      </c>
      <c r="BF22" s="50">
        <v>0</v>
      </c>
      <c r="BG22" s="50">
        <v>1</v>
      </c>
      <c r="BH22" s="50">
        <v>0</v>
      </c>
      <c r="BI22">
        <v>-1</v>
      </c>
    </row>
    <row r="23" spans="1:61" ht="18" x14ac:dyDescent="0.35">
      <c r="A23" s="53" t="s">
        <v>236</v>
      </c>
      <c r="B23" s="41" t="s">
        <v>241</v>
      </c>
      <c r="C23" t="s">
        <v>234</v>
      </c>
      <c r="D23" s="41" t="s">
        <v>242</v>
      </c>
      <c r="E23" s="42" t="s">
        <v>451</v>
      </c>
      <c r="F23" s="41" t="s">
        <v>452</v>
      </c>
      <c r="G23" s="50">
        <v>1</v>
      </c>
      <c r="H23">
        <v>25</v>
      </c>
      <c r="I23">
        <v>225</v>
      </c>
      <c r="J23" s="44">
        <v>44709.291655092602</v>
      </c>
      <c r="K23" s="44"/>
      <c r="L23" s="44"/>
      <c r="M23" s="44" t="s">
        <v>74</v>
      </c>
      <c r="N23" s="62" t="s">
        <v>69</v>
      </c>
      <c r="O23" s="62">
        <v>0</v>
      </c>
      <c r="P23" s="50">
        <v>0</v>
      </c>
      <c r="Q23">
        <v>64513</v>
      </c>
      <c r="R23" s="43">
        <v>44686.804375</v>
      </c>
      <c r="S23" s="43">
        <v>44722.926469907397</v>
      </c>
      <c r="T23" s="45" t="s">
        <v>453</v>
      </c>
      <c r="U23" s="45" t="s">
        <v>454</v>
      </c>
      <c r="V23" s="66">
        <v>77279</v>
      </c>
      <c r="W23" s="50">
        <v>0</v>
      </c>
      <c r="X23">
        <v>255</v>
      </c>
      <c r="Y23" s="50">
        <v>0</v>
      </c>
      <c r="Z23" s="50">
        <v>0</v>
      </c>
      <c r="AA23" s="50">
        <v>0</v>
      </c>
      <c r="AB23" s="50">
        <v>0</v>
      </c>
      <c r="AC23" s="50">
        <v>0</v>
      </c>
      <c r="AD23">
        <v>0</v>
      </c>
      <c r="AE23" s="43"/>
      <c r="AF23" s="50">
        <v>0</v>
      </c>
      <c r="AG23">
        <v>0</v>
      </c>
      <c r="AH23">
        <v>18</v>
      </c>
      <c r="AI23" s="50">
        <v>0</v>
      </c>
      <c r="AJ23"/>
      <c r="AK23"/>
      <c r="AL23" s="50">
        <v>0</v>
      </c>
      <c r="AM23" s="50">
        <v>1</v>
      </c>
      <c r="AN23">
        <v>0</v>
      </c>
      <c r="AO23" s="50">
        <v>0</v>
      </c>
      <c r="AP23" s="50">
        <v>0</v>
      </c>
      <c r="AQ23" s="50">
        <v>0</v>
      </c>
      <c r="AR23"/>
      <c r="AS23">
        <v>0</v>
      </c>
      <c r="AT23" s="50">
        <v>0</v>
      </c>
      <c r="AU23" s="50">
        <v>0</v>
      </c>
      <c r="AV23" s="50">
        <v>0</v>
      </c>
      <c r="AW23"/>
      <c r="AX23" s="50">
        <v>0</v>
      </c>
      <c r="AY23"/>
      <c r="AZ23"/>
      <c r="BA23" s="50">
        <v>0</v>
      </c>
      <c r="BB23" s="50">
        <v>0</v>
      </c>
      <c r="BC23">
        <v>0</v>
      </c>
      <c r="BD23">
        <v>0</v>
      </c>
      <c r="BE23" s="50">
        <v>1</v>
      </c>
      <c r="BF23" s="50">
        <v>0</v>
      </c>
      <c r="BG23" s="50">
        <v>1</v>
      </c>
      <c r="BH23" s="50">
        <v>0</v>
      </c>
      <c r="BI23">
        <v>-1</v>
      </c>
    </row>
    <row r="24" spans="1:61" ht="18" x14ac:dyDescent="0.35">
      <c r="A24" s="53" t="s">
        <v>236</v>
      </c>
      <c r="B24" s="41" t="s">
        <v>241</v>
      </c>
      <c r="C24" t="s">
        <v>234</v>
      </c>
      <c r="D24" s="41" t="s">
        <v>242</v>
      </c>
      <c r="E24" s="42" t="s">
        <v>494</v>
      </c>
      <c r="F24" s="41" t="s">
        <v>495</v>
      </c>
      <c r="G24" s="50">
        <v>1</v>
      </c>
      <c r="H24">
        <v>50</v>
      </c>
      <c r="I24">
        <v>527</v>
      </c>
      <c r="J24" s="44">
        <v>44716.291655092602</v>
      </c>
      <c r="K24" s="44"/>
      <c r="L24" s="44"/>
      <c r="M24" s="68" t="str">
        <f>{"online_text_entry","online_url","online_upload"}</f>
        <v>online_text_entry</v>
      </c>
      <c r="N24" s="62" t="s">
        <v>69</v>
      </c>
      <c r="O24" s="62">
        <v>5100</v>
      </c>
      <c r="P24" s="50">
        <v>0</v>
      </c>
      <c r="Q24">
        <v>64513</v>
      </c>
      <c r="R24" s="43">
        <v>44705.900127314802</v>
      </c>
      <c r="S24" s="43">
        <v>44717.686261574097</v>
      </c>
      <c r="T24" s="45" t="s">
        <v>496</v>
      </c>
      <c r="U24" s="45" t="s">
        <v>497</v>
      </c>
      <c r="V24" s="66">
        <v>77279</v>
      </c>
      <c r="W24" s="50">
        <v>0</v>
      </c>
      <c r="X24">
        <v>255</v>
      </c>
      <c r="Y24" s="50">
        <v>0</v>
      </c>
      <c r="Z24" s="50">
        <v>0</v>
      </c>
      <c r="AA24" s="50">
        <v>0</v>
      </c>
      <c r="AB24" s="50">
        <v>0</v>
      </c>
      <c r="AC24" s="50">
        <v>0</v>
      </c>
      <c r="AD24">
        <v>0</v>
      </c>
      <c r="AE24" s="43"/>
      <c r="AF24" s="50">
        <v>0</v>
      </c>
      <c r="AG24">
        <v>0</v>
      </c>
      <c r="AH24">
        <v>19</v>
      </c>
      <c r="AI24" s="50">
        <v>0</v>
      </c>
      <c r="AJ24"/>
      <c r="AK24"/>
      <c r="AL24" s="50">
        <v>1</v>
      </c>
      <c r="AM24" s="50">
        <v>1</v>
      </c>
      <c r="AN24">
        <v>0</v>
      </c>
      <c r="AO24" s="50">
        <v>0</v>
      </c>
      <c r="AP24" s="50">
        <v>0</v>
      </c>
      <c r="AQ24" s="50">
        <v>0</v>
      </c>
      <c r="AR24"/>
      <c r="AS24">
        <v>0</v>
      </c>
      <c r="AT24" s="50">
        <v>0</v>
      </c>
      <c r="AU24" s="50">
        <v>0</v>
      </c>
      <c r="AV24" s="50">
        <v>0</v>
      </c>
      <c r="AW24"/>
      <c r="AX24" s="50">
        <v>0</v>
      </c>
      <c r="AY24"/>
      <c r="AZ24"/>
      <c r="BA24" s="50">
        <v>0</v>
      </c>
      <c r="BB24" s="50">
        <v>0</v>
      </c>
      <c r="BC24">
        <v>0</v>
      </c>
      <c r="BD24">
        <v>0</v>
      </c>
      <c r="BE24" s="50">
        <v>1</v>
      </c>
      <c r="BF24" s="50">
        <v>0</v>
      </c>
      <c r="BG24" s="50">
        <v>1</v>
      </c>
      <c r="BH24" s="50">
        <v>0</v>
      </c>
      <c r="BI24">
        <v>-1</v>
      </c>
    </row>
    <row r="25" spans="1:61" ht="18" x14ac:dyDescent="0.35">
      <c r="A25" s="53" t="s">
        <v>236</v>
      </c>
      <c r="B25" s="41" t="s">
        <v>241</v>
      </c>
      <c r="C25" t="s">
        <v>234</v>
      </c>
      <c r="D25" s="41" t="s">
        <v>242</v>
      </c>
      <c r="E25" s="42" t="s">
        <v>490</v>
      </c>
      <c r="F25" s="41" t="s">
        <v>491</v>
      </c>
      <c r="G25" s="50">
        <v>1</v>
      </c>
      <c r="H25">
        <v>25</v>
      </c>
      <c r="I25">
        <v>0</v>
      </c>
      <c r="J25" s="44">
        <v>44723.291655092602</v>
      </c>
      <c r="K25" s="44"/>
      <c r="L25" s="44"/>
      <c r="M25" s="44" t="s">
        <v>90</v>
      </c>
      <c r="N25" s="62" t="s">
        <v>69</v>
      </c>
      <c r="O25" s="62">
        <v>5100</v>
      </c>
      <c r="P25" s="50">
        <v>0</v>
      </c>
      <c r="Q25">
        <v>64513</v>
      </c>
      <c r="R25" s="43">
        <v>44705.840324074103</v>
      </c>
      <c r="S25" s="43">
        <v>44717.681608796302</v>
      </c>
      <c r="T25" s="45" t="s">
        <v>492</v>
      </c>
      <c r="U25" s="45" t="s">
        <v>493</v>
      </c>
      <c r="V25" s="66">
        <v>77279</v>
      </c>
      <c r="W25" s="50">
        <v>0</v>
      </c>
      <c r="X25">
        <v>255</v>
      </c>
      <c r="Y25" s="50">
        <v>0</v>
      </c>
      <c r="Z25" s="50">
        <v>0</v>
      </c>
      <c r="AA25" s="50">
        <v>0</v>
      </c>
      <c r="AB25" s="50">
        <v>0</v>
      </c>
      <c r="AC25" s="50">
        <v>0</v>
      </c>
      <c r="AD25">
        <v>0</v>
      </c>
      <c r="AE25" s="43"/>
      <c r="AF25" s="50">
        <v>0</v>
      </c>
      <c r="AG25">
        <v>0</v>
      </c>
      <c r="AH25">
        <v>20</v>
      </c>
      <c r="AI25" s="50">
        <v>0</v>
      </c>
      <c r="AJ25"/>
      <c r="AK25"/>
      <c r="AL25" s="50">
        <v>1</v>
      </c>
      <c r="AM25" s="50">
        <v>1</v>
      </c>
      <c r="AN25">
        <v>0</v>
      </c>
      <c r="AO25" s="50">
        <v>0</v>
      </c>
      <c r="AP25" s="50">
        <v>0</v>
      </c>
      <c r="AQ25" s="50">
        <v>0</v>
      </c>
      <c r="AR25"/>
      <c r="AS25">
        <v>0</v>
      </c>
      <c r="AT25" s="50">
        <v>0</v>
      </c>
      <c r="AU25" s="50">
        <v>0</v>
      </c>
      <c r="AV25" s="50">
        <v>0</v>
      </c>
      <c r="AW25"/>
      <c r="AX25" s="50">
        <v>0</v>
      </c>
      <c r="AY25"/>
      <c r="AZ25"/>
      <c r="BA25" s="50">
        <v>0</v>
      </c>
      <c r="BB25" s="50">
        <v>0</v>
      </c>
      <c r="BC25">
        <v>0</v>
      </c>
      <c r="BD25">
        <v>0</v>
      </c>
      <c r="BE25" s="50">
        <v>1</v>
      </c>
      <c r="BF25" s="50">
        <v>0</v>
      </c>
      <c r="BG25" s="50">
        <v>1</v>
      </c>
      <c r="BH25" s="50">
        <v>0</v>
      </c>
      <c r="BI25">
        <v>-1</v>
      </c>
    </row>
    <row r="26" spans="1:61" ht="18" x14ac:dyDescent="0.35">
      <c r="A26" s="52" t="s">
        <v>237</v>
      </c>
      <c r="B26" s="41" t="s">
        <v>251</v>
      </c>
      <c r="C26" t="s">
        <v>234</v>
      </c>
      <c r="D26" s="41" t="s">
        <v>252</v>
      </c>
      <c r="E26" s="42" t="s">
        <v>253</v>
      </c>
      <c r="F26" s="41" t="s">
        <v>254</v>
      </c>
      <c r="G26" s="50">
        <v>1</v>
      </c>
      <c r="H26">
        <v>25</v>
      </c>
      <c r="I26">
        <v>1448</v>
      </c>
      <c r="J26" s="44">
        <v>44617.333321759303</v>
      </c>
      <c r="K26" s="44"/>
      <c r="L26" s="44"/>
      <c r="M26" s="44" t="s">
        <v>78</v>
      </c>
      <c r="N26" s="51" t="s">
        <v>69</v>
      </c>
      <c r="O26" s="51">
        <v>4947</v>
      </c>
      <c r="P26" s="50">
        <v>0</v>
      </c>
      <c r="Q26">
        <v>80430</v>
      </c>
      <c r="R26" s="43">
        <v>44610.799687500003</v>
      </c>
      <c r="S26" s="43">
        <v>44620.936585648102</v>
      </c>
      <c r="T26" s="45" t="s">
        <v>255</v>
      </c>
      <c r="U26" s="45" t="s">
        <v>256</v>
      </c>
      <c r="V26" s="66">
        <v>77277</v>
      </c>
      <c r="W26" s="50">
        <v>0</v>
      </c>
      <c r="X26">
        <v>255</v>
      </c>
      <c r="Y26" s="50">
        <v>0</v>
      </c>
      <c r="Z26" s="50">
        <v>0</v>
      </c>
      <c r="AA26" s="50">
        <v>0</v>
      </c>
      <c r="AB26" s="50">
        <v>0</v>
      </c>
      <c r="AC26" s="50">
        <v>0</v>
      </c>
      <c r="AD26">
        <v>0</v>
      </c>
      <c r="AE26" s="43"/>
      <c r="AF26" s="50">
        <v>0</v>
      </c>
      <c r="AG26">
        <v>0</v>
      </c>
      <c r="AH26">
        <v>1</v>
      </c>
      <c r="AI26" s="50">
        <v>0</v>
      </c>
      <c r="AJ26"/>
      <c r="AK26"/>
      <c r="AL26" s="50">
        <v>0</v>
      </c>
      <c r="AM26" s="50">
        <v>1</v>
      </c>
      <c r="AN26">
        <v>0</v>
      </c>
      <c r="AO26" s="50">
        <v>0</v>
      </c>
      <c r="AP26" s="50">
        <v>0</v>
      </c>
      <c r="AQ26" s="50">
        <v>0</v>
      </c>
      <c r="AR26"/>
      <c r="AS26">
        <v>0</v>
      </c>
      <c r="AT26" s="50">
        <v>0</v>
      </c>
      <c r="AU26" s="50">
        <v>0</v>
      </c>
      <c r="AV26" s="50">
        <v>0</v>
      </c>
      <c r="AW26"/>
      <c r="AX26" s="50">
        <v>0</v>
      </c>
      <c r="AY26"/>
      <c r="AZ26"/>
      <c r="BA26" s="50">
        <v>0</v>
      </c>
      <c r="BB26" s="50">
        <v>0</v>
      </c>
      <c r="BC26">
        <v>0</v>
      </c>
      <c r="BD26">
        <v>0</v>
      </c>
      <c r="BE26" s="50">
        <v>1</v>
      </c>
      <c r="BF26" s="50">
        <v>0</v>
      </c>
      <c r="BG26" s="50">
        <v>1</v>
      </c>
      <c r="BH26" s="50">
        <v>0</v>
      </c>
      <c r="BI26">
        <v>-1</v>
      </c>
    </row>
    <row r="27" spans="1:61" ht="18" x14ac:dyDescent="0.35">
      <c r="A27" s="53" t="s">
        <v>237</v>
      </c>
      <c r="B27" s="41" t="s">
        <v>251</v>
      </c>
      <c r="C27" t="s">
        <v>234</v>
      </c>
      <c r="D27" s="41" t="s">
        <v>252</v>
      </c>
      <c r="E27" s="42" t="s">
        <v>330</v>
      </c>
      <c r="F27" s="41" t="s">
        <v>331</v>
      </c>
      <c r="G27" s="50">
        <v>1</v>
      </c>
      <c r="H27">
        <v>50</v>
      </c>
      <c r="I27">
        <v>618</v>
      </c>
      <c r="J27" s="44">
        <v>44639.291655092602</v>
      </c>
      <c r="K27" s="44"/>
      <c r="L27" s="44"/>
      <c r="M27" s="44" t="s">
        <v>78</v>
      </c>
      <c r="N27" s="62" t="s">
        <v>69</v>
      </c>
      <c r="O27" s="62">
        <v>4947</v>
      </c>
      <c r="P27" s="50">
        <v>0</v>
      </c>
      <c r="Q27">
        <v>80430</v>
      </c>
      <c r="R27" s="43">
        <v>44634.803333333301</v>
      </c>
      <c r="S27" s="43">
        <v>44648.816342592603</v>
      </c>
      <c r="T27" s="45" t="s">
        <v>332</v>
      </c>
      <c r="U27" s="45" t="s">
        <v>333</v>
      </c>
      <c r="V27" s="66">
        <v>77277</v>
      </c>
      <c r="W27" s="50">
        <v>0</v>
      </c>
      <c r="X27">
        <v>255</v>
      </c>
      <c r="Y27" s="50">
        <v>0</v>
      </c>
      <c r="Z27" s="50">
        <v>0</v>
      </c>
      <c r="AA27" s="50">
        <v>0</v>
      </c>
      <c r="AB27" s="50">
        <v>0</v>
      </c>
      <c r="AC27" s="50">
        <v>0</v>
      </c>
      <c r="AD27">
        <v>0</v>
      </c>
      <c r="AE27" s="43"/>
      <c r="AF27" s="50">
        <v>0</v>
      </c>
      <c r="AG27">
        <v>0</v>
      </c>
      <c r="AH27">
        <v>2</v>
      </c>
      <c r="AI27" s="50">
        <v>0</v>
      </c>
      <c r="AJ27"/>
      <c r="AK27"/>
      <c r="AL27" s="50">
        <v>1</v>
      </c>
      <c r="AM27" s="50">
        <v>1</v>
      </c>
      <c r="AN27">
        <v>0</v>
      </c>
      <c r="AO27" s="50">
        <v>0</v>
      </c>
      <c r="AP27" s="50">
        <v>0</v>
      </c>
      <c r="AQ27" s="50">
        <v>0</v>
      </c>
      <c r="AR27"/>
      <c r="AS27">
        <v>0</v>
      </c>
      <c r="AT27" s="50">
        <v>0</v>
      </c>
      <c r="AU27" s="50">
        <v>0</v>
      </c>
      <c r="AV27" s="50">
        <v>0</v>
      </c>
      <c r="AW27"/>
      <c r="AX27" s="50">
        <v>0</v>
      </c>
      <c r="AY27"/>
      <c r="AZ27"/>
      <c r="BA27" s="50">
        <v>0</v>
      </c>
      <c r="BB27" s="50">
        <v>0</v>
      </c>
      <c r="BC27">
        <v>0</v>
      </c>
      <c r="BD27">
        <v>0</v>
      </c>
      <c r="BE27" s="50">
        <v>1</v>
      </c>
      <c r="BF27" s="50">
        <v>0</v>
      </c>
      <c r="BG27" s="50">
        <v>1</v>
      </c>
      <c r="BH27" s="50">
        <v>0</v>
      </c>
      <c r="BI27">
        <v>-1</v>
      </c>
    </row>
    <row r="28" spans="1:61" ht="18" x14ac:dyDescent="0.35">
      <c r="A28" s="53" t="s">
        <v>237</v>
      </c>
      <c r="B28" s="41" t="s">
        <v>251</v>
      </c>
      <c r="C28" t="s">
        <v>234</v>
      </c>
      <c r="D28" s="41" t="s">
        <v>252</v>
      </c>
      <c r="E28" s="42" t="s">
        <v>498</v>
      </c>
      <c r="F28" s="41" t="s">
        <v>499</v>
      </c>
      <c r="G28" s="50">
        <v>1</v>
      </c>
      <c r="H28">
        <v>30</v>
      </c>
      <c r="I28">
        <v>448</v>
      </c>
      <c r="J28" s="44">
        <v>44723.291655092602</v>
      </c>
      <c r="K28" s="44"/>
      <c r="L28" s="44"/>
      <c r="M28" s="44" t="s">
        <v>78</v>
      </c>
      <c r="N28" s="62" t="s">
        <v>69</v>
      </c>
      <c r="O28" s="62">
        <v>5101</v>
      </c>
      <c r="P28" s="50">
        <v>0</v>
      </c>
      <c r="Q28">
        <v>80430</v>
      </c>
      <c r="R28" s="43">
        <v>44708.847083333298</v>
      </c>
      <c r="S28" s="43">
        <v>44708.848587963003</v>
      </c>
      <c r="T28" s="45" t="s">
        <v>500</v>
      </c>
      <c r="U28" s="45" t="s">
        <v>501</v>
      </c>
      <c r="V28" s="66">
        <v>77277</v>
      </c>
      <c r="W28" s="50">
        <v>0</v>
      </c>
      <c r="X28">
        <v>255</v>
      </c>
      <c r="Y28" s="50">
        <v>0</v>
      </c>
      <c r="Z28" s="50">
        <v>0</v>
      </c>
      <c r="AA28" s="50">
        <v>0</v>
      </c>
      <c r="AB28" s="50">
        <v>0</v>
      </c>
      <c r="AC28" s="50">
        <v>0</v>
      </c>
      <c r="AD28">
        <v>0</v>
      </c>
      <c r="AE28" s="43"/>
      <c r="AF28" s="50">
        <v>0</v>
      </c>
      <c r="AG28">
        <v>0</v>
      </c>
      <c r="AH28">
        <v>3</v>
      </c>
      <c r="AI28" s="50">
        <v>0</v>
      </c>
      <c r="AJ28"/>
      <c r="AK28"/>
      <c r="AL28" s="50">
        <v>1</v>
      </c>
      <c r="AM28" s="50">
        <v>1</v>
      </c>
      <c r="AN28">
        <v>0</v>
      </c>
      <c r="AO28" s="50">
        <v>0</v>
      </c>
      <c r="AP28" s="50">
        <v>0</v>
      </c>
      <c r="AQ28" s="50">
        <v>0</v>
      </c>
      <c r="AR28"/>
      <c r="AS28">
        <v>0</v>
      </c>
      <c r="AT28" s="50">
        <v>0</v>
      </c>
      <c r="AU28" s="50">
        <v>0</v>
      </c>
      <c r="AV28" s="50">
        <v>0</v>
      </c>
      <c r="AW28"/>
      <c r="AX28" s="50">
        <v>0</v>
      </c>
      <c r="AY28"/>
      <c r="AZ28"/>
      <c r="BA28" s="50">
        <v>0</v>
      </c>
      <c r="BB28" s="50">
        <v>0</v>
      </c>
      <c r="BC28">
        <v>0</v>
      </c>
      <c r="BD28">
        <v>0</v>
      </c>
      <c r="BE28" s="50">
        <v>1</v>
      </c>
      <c r="BF28" s="50">
        <v>0</v>
      </c>
      <c r="BG28" s="50">
        <v>1</v>
      </c>
      <c r="BH28" s="50">
        <v>0</v>
      </c>
      <c r="BI28">
        <v>-1</v>
      </c>
    </row>
    <row r="29" spans="1:61" ht="18" x14ac:dyDescent="0.35">
      <c r="A29" s="53" t="s">
        <v>237</v>
      </c>
      <c r="B29" s="41" t="s">
        <v>251</v>
      </c>
      <c r="C29" t="s">
        <v>234</v>
      </c>
      <c r="D29" s="41" t="s">
        <v>252</v>
      </c>
      <c r="E29" s="42" t="s">
        <v>502</v>
      </c>
      <c r="F29" s="41" t="s">
        <v>503</v>
      </c>
      <c r="G29" s="50">
        <v>1</v>
      </c>
      <c r="H29">
        <v>30</v>
      </c>
      <c r="I29">
        <v>424</v>
      </c>
      <c r="J29" s="44">
        <v>44723.291655092602</v>
      </c>
      <c r="K29" s="44"/>
      <c r="L29" s="44"/>
      <c r="M29" s="44" t="s">
        <v>78</v>
      </c>
      <c r="N29" s="62" t="s">
        <v>69</v>
      </c>
      <c r="O29" s="62">
        <v>5107</v>
      </c>
      <c r="P29" s="50">
        <v>0</v>
      </c>
      <c r="Q29">
        <v>80430</v>
      </c>
      <c r="R29" s="43">
        <v>44708.919108796297</v>
      </c>
      <c r="S29" s="43">
        <v>44708.920405092598</v>
      </c>
      <c r="T29" s="45" t="s">
        <v>504</v>
      </c>
      <c r="U29" s="45" t="s">
        <v>505</v>
      </c>
      <c r="V29" s="66">
        <v>77277</v>
      </c>
      <c r="W29" s="50">
        <v>0</v>
      </c>
      <c r="X29">
        <v>255</v>
      </c>
      <c r="Y29" s="50">
        <v>0</v>
      </c>
      <c r="Z29" s="50">
        <v>0</v>
      </c>
      <c r="AA29" s="50">
        <v>0</v>
      </c>
      <c r="AB29" s="50">
        <v>0</v>
      </c>
      <c r="AC29" s="50">
        <v>0</v>
      </c>
      <c r="AD29">
        <v>0</v>
      </c>
      <c r="AE29" s="43"/>
      <c r="AF29" s="50">
        <v>0</v>
      </c>
      <c r="AG29">
        <v>0</v>
      </c>
      <c r="AH29">
        <v>4</v>
      </c>
      <c r="AI29" s="50">
        <v>0</v>
      </c>
      <c r="AJ29"/>
      <c r="AK29"/>
      <c r="AL29" s="50">
        <v>1</v>
      </c>
      <c r="AM29" s="50">
        <v>1</v>
      </c>
      <c r="AN29">
        <v>0</v>
      </c>
      <c r="AO29" s="50">
        <v>0</v>
      </c>
      <c r="AP29" s="50">
        <v>0</v>
      </c>
      <c r="AQ29" s="50">
        <v>0</v>
      </c>
      <c r="AR29"/>
      <c r="AS29">
        <v>0</v>
      </c>
      <c r="AT29" s="50">
        <v>0</v>
      </c>
      <c r="AU29" s="50">
        <v>0</v>
      </c>
      <c r="AV29" s="50">
        <v>0</v>
      </c>
      <c r="AW29"/>
      <c r="AX29" s="50">
        <v>0</v>
      </c>
      <c r="AY29"/>
      <c r="AZ29"/>
      <c r="BA29" s="50">
        <v>0</v>
      </c>
      <c r="BB29" s="50">
        <v>0</v>
      </c>
      <c r="BC29">
        <v>0</v>
      </c>
      <c r="BD29">
        <v>0</v>
      </c>
      <c r="BE29" s="50">
        <v>1</v>
      </c>
      <c r="BF29" s="50">
        <v>0</v>
      </c>
      <c r="BG29" s="50">
        <v>1</v>
      </c>
      <c r="BH29" s="50">
        <v>0</v>
      </c>
      <c r="BI29">
        <v>-1</v>
      </c>
    </row>
    <row r="30" spans="1:61" ht="18" x14ac:dyDescent="0.35">
      <c r="A30" s="53" t="s">
        <v>238</v>
      </c>
      <c r="B30" s="41" t="s">
        <v>257</v>
      </c>
      <c r="C30" t="s">
        <v>234</v>
      </c>
      <c r="D30" s="41" t="s">
        <v>258</v>
      </c>
      <c r="E30" s="42" t="s">
        <v>259</v>
      </c>
      <c r="F30" s="41" t="s">
        <v>254</v>
      </c>
      <c r="G30" s="50">
        <v>1</v>
      </c>
      <c r="H30">
        <v>25</v>
      </c>
      <c r="I30">
        <v>1110</v>
      </c>
      <c r="J30" s="44">
        <v>44617.333321759303</v>
      </c>
      <c r="K30" s="44"/>
      <c r="L30" s="44"/>
      <c r="M30" s="44" t="s">
        <v>78</v>
      </c>
      <c r="N30" s="51" t="s">
        <v>69</v>
      </c>
      <c r="O30" s="51">
        <v>4950</v>
      </c>
      <c r="P30" s="50">
        <v>0</v>
      </c>
      <c r="Q30">
        <v>80434</v>
      </c>
      <c r="R30" s="43">
        <v>44610.8106134259</v>
      </c>
      <c r="S30" s="43">
        <v>44618.010497685202</v>
      </c>
      <c r="T30" s="45" t="s">
        <v>260</v>
      </c>
      <c r="U30" s="45" t="s">
        <v>261</v>
      </c>
      <c r="V30" s="66">
        <v>93244</v>
      </c>
      <c r="W30" s="50">
        <v>0</v>
      </c>
      <c r="X30">
        <v>255</v>
      </c>
      <c r="Y30" s="50">
        <v>0</v>
      </c>
      <c r="Z30" s="50">
        <v>0</v>
      </c>
      <c r="AA30" s="50">
        <v>0</v>
      </c>
      <c r="AB30" s="50">
        <v>0</v>
      </c>
      <c r="AC30" s="50">
        <v>0</v>
      </c>
      <c r="AD30">
        <v>0</v>
      </c>
      <c r="AE30" s="43"/>
      <c r="AF30" s="50">
        <v>0</v>
      </c>
      <c r="AG30">
        <v>0</v>
      </c>
      <c r="AH30">
        <v>1</v>
      </c>
      <c r="AI30" s="50">
        <v>0</v>
      </c>
      <c r="AJ30"/>
      <c r="AK30"/>
      <c r="AL30" s="50">
        <v>0</v>
      </c>
      <c r="AM30" s="50">
        <v>1</v>
      </c>
      <c r="AN30">
        <v>0</v>
      </c>
      <c r="AO30" s="50">
        <v>0</v>
      </c>
      <c r="AP30" s="50">
        <v>0</v>
      </c>
      <c r="AQ30" s="50">
        <v>0</v>
      </c>
      <c r="AR30"/>
      <c r="AS30">
        <v>0</v>
      </c>
      <c r="AT30" s="50">
        <v>0</v>
      </c>
      <c r="AU30" s="50">
        <v>0</v>
      </c>
      <c r="AV30" s="50">
        <v>0</v>
      </c>
      <c r="AW30"/>
      <c r="AX30" s="50">
        <v>0</v>
      </c>
      <c r="AY30"/>
      <c r="AZ30"/>
      <c r="BA30" s="50">
        <v>0</v>
      </c>
      <c r="BB30" s="50">
        <v>0</v>
      </c>
      <c r="BC30">
        <v>0</v>
      </c>
      <c r="BD30">
        <v>0</v>
      </c>
      <c r="BE30" s="50">
        <v>1</v>
      </c>
      <c r="BF30" s="50">
        <v>0</v>
      </c>
      <c r="BG30" s="50">
        <v>1</v>
      </c>
      <c r="BH30" s="50">
        <v>0</v>
      </c>
      <c r="BI30">
        <v>-1</v>
      </c>
    </row>
    <row r="31" spans="1:61" ht="18" x14ac:dyDescent="0.35">
      <c r="A31" s="53" t="s">
        <v>238</v>
      </c>
      <c r="B31" s="41" t="s">
        <v>257</v>
      </c>
      <c r="C31" t="s">
        <v>234</v>
      </c>
      <c r="D31" s="41" t="s">
        <v>258</v>
      </c>
      <c r="E31" s="42" t="s">
        <v>334</v>
      </c>
      <c r="F31" s="41" t="s">
        <v>331</v>
      </c>
      <c r="G31" s="50">
        <v>1</v>
      </c>
      <c r="H31">
        <v>50</v>
      </c>
      <c r="I31">
        <v>529</v>
      </c>
      <c r="J31" s="44">
        <v>44639.291655092602</v>
      </c>
      <c r="K31" s="44"/>
      <c r="L31" s="44"/>
      <c r="M31" s="44" t="s">
        <v>78</v>
      </c>
      <c r="N31" s="62" t="s">
        <v>69</v>
      </c>
      <c r="O31" s="62">
        <v>4950</v>
      </c>
      <c r="P31" s="50">
        <v>0</v>
      </c>
      <c r="Q31">
        <v>80434</v>
      </c>
      <c r="R31" s="43">
        <v>44634.806597222203</v>
      </c>
      <c r="S31" s="43">
        <v>44664.101747685199</v>
      </c>
      <c r="T31" s="45" t="s">
        <v>335</v>
      </c>
      <c r="U31" s="45" t="s">
        <v>336</v>
      </c>
      <c r="V31" s="66">
        <v>93244</v>
      </c>
      <c r="W31" s="50">
        <v>0</v>
      </c>
      <c r="X31">
        <v>255</v>
      </c>
      <c r="Y31" s="50">
        <v>0</v>
      </c>
      <c r="Z31" s="50">
        <v>0</v>
      </c>
      <c r="AA31" s="50">
        <v>0</v>
      </c>
      <c r="AB31" s="50">
        <v>0</v>
      </c>
      <c r="AC31" s="50">
        <v>0</v>
      </c>
      <c r="AD31">
        <v>0</v>
      </c>
      <c r="AE31" s="43"/>
      <c r="AF31" s="50">
        <v>0</v>
      </c>
      <c r="AG31">
        <v>0</v>
      </c>
      <c r="AH31">
        <v>2</v>
      </c>
      <c r="AI31" s="50">
        <v>0</v>
      </c>
      <c r="AJ31"/>
      <c r="AK31"/>
      <c r="AL31" s="50">
        <v>0</v>
      </c>
      <c r="AM31" s="50">
        <v>1</v>
      </c>
      <c r="AN31">
        <v>0</v>
      </c>
      <c r="AO31" s="50">
        <v>0</v>
      </c>
      <c r="AP31" s="50">
        <v>0</v>
      </c>
      <c r="AQ31" s="50">
        <v>0</v>
      </c>
      <c r="AR31"/>
      <c r="AS31">
        <v>0</v>
      </c>
      <c r="AT31" s="50">
        <v>0</v>
      </c>
      <c r="AU31" s="50">
        <v>0</v>
      </c>
      <c r="AV31" s="50">
        <v>0</v>
      </c>
      <c r="AW31"/>
      <c r="AX31" s="50">
        <v>0</v>
      </c>
      <c r="AY31"/>
      <c r="AZ31"/>
      <c r="BA31" s="50">
        <v>0</v>
      </c>
      <c r="BB31" s="50">
        <v>0</v>
      </c>
      <c r="BC31">
        <v>0</v>
      </c>
      <c r="BD31">
        <v>0</v>
      </c>
      <c r="BE31" s="50">
        <v>1</v>
      </c>
      <c r="BF31" s="50">
        <v>0</v>
      </c>
      <c r="BG31" s="50">
        <v>1</v>
      </c>
      <c r="BH31" s="50">
        <v>0</v>
      </c>
      <c r="BI31">
        <v>-1</v>
      </c>
    </row>
    <row r="32" spans="1:61" ht="18" x14ac:dyDescent="0.35">
      <c r="A32" s="53" t="s">
        <v>238</v>
      </c>
      <c r="B32" s="41" t="s">
        <v>257</v>
      </c>
      <c r="C32" t="s">
        <v>234</v>
      </c>
      <c r="D32" s="41" t="s">
        <v>258</v>
      </c>
      <c r="E32" s="42" t="s">
        <v>506</v>
      </c>
      <c r="F32" s="41" t="s">
        <v>499</v>
      </c>
      <c r="G32" s="50">
        <v>1</v>
      </c>
      <c r="H32">
        <v>30</v>
      </c>
      <c r="I32">
        <v>448</v>
      </c>
      <c r="J32" s="44">
        <v>44723.291655092602</v>
      </c>
      <c r="K32" s="44"/>
      <c r="L32" s="44"/>
      <c r="M32" s="44" t="s">
        <v>78</v>
      </c>
      <c r="N32" s="62" t="s">
        <v>69</v>
      </c>
      <c r="O32" s="62">
        <v>5102</v>
      </c>
      <c r="P32" s="50">
        <v>0</v>
      </c>
      <c r="Q32">
        <v>80434</v>
      </c>
      <c r="R32" s="43">
        <v>44708.921724537002</v>
      </c>
      <c r="S32" s="43">
        <v>44725.862349536997</v>
      </c>
      <c r="T32" s="45" t="s">
        <v>507</v>
      </c>
      <c r="U32" s="45" t="s">
        <v>508</v>
      </c>
      <c r="V32" s="66">
        <v>93244</v>
      </c>
      <c r="W32" s="50">
        <v>0</v>
      </c>
      <c r="X32">
        <v>255</v>
      </c>
      <c r="Y32" s="50">
        <v>0</v>
      </c>
      <c r="Z32" s="50">
        <v>0</v>
      </c>
      <c r="AA32" s="50">
        <v>0</v>
      </c>
      <c r="AB32" s="50">
        <v>0</v>
      </c>
      <c r="AC32" s="50">
        <v>0</v>
      </c>
      <c r="AD32">
        <v>0</v>
      </c>
      <c r="AE32" s="43"/>
      <c r="AF32" s="50">
        <v>0</v>
      </c>
      <c r="AG32">
        <v>0</v>
      </c>
      <c r="AH32">
        <v>3</v>
      </c>
      <c r="AI32" s="50">
        <v>0</v>
      </c>
      <c r="AJ32"/>
      <c r="AK32"/>
      <c r="AL32" s="50">
        <v>0</v>
      </c>
      <c r="AM32" s="50">
        <v>1</v>
      </c>
      <c r="AN32">
        <v>0</v>
      </c>
      <c r="AO32" s="50">
        <v>0</v>
      </c>
      <c r="AP32" s="50">
        <v>0</v>
      </c>
      <c r="AQ32" s="50">
        <v>0</v>
      </c>
      <c r="AR32"/>
      <c r="AS32">
        <v>0</v>
      </c>
      <c r="AT32" s="50">
        <v>0</v>
      </c>
      <c r="AU32" s="50">
        <v>0</v>
      </c>
      <c r="AV32" s="50">
        <v>0</v>
      </c>
      <c r="AW32"/>
      <c r="AX32" s="50">
        <v>0</v>
      </c>
      <c r="AY32"/>
      <c r="AZ32"/>
      <c r="BA32" s="50">
        <v>0</v>
      </c>
      <c r="BB32" s="50">
        <v>0</v>
      </c>
      <c r="BC32">
        <v>0</v>
      </c>
      <c r="BD32">
        <v>0</v>
      </c>
      <c r="BE32" s="50">
        <v>1</v>
      </c>
      <c r="BF32" s="50">
        <v>0</v>
      </c>
      <c r="BG32" s="50">
        <v>1</v>
      </c>
      <c r="BH32" s="50">
        <v>0</v>
      </c>
      <c r="BI32">
        <v>-1</v>
      </c>
    </row>
    <row r="33" spans="1:61" ht="18" x14ac:dyDescent="0.35">
      <c r="A33" s="53" t="s">
        <v>238</v>
      </c>
      <c r="B33" s="41" t="s">
        <v>257</v>
      </c>
      <c r="C33" t="s">
        <v>234</v>
      </c>
      <c r="D33" s="41" t="s">
        <v>258</v>
      </c>
      <c r="E33" s="42" t="s">
        <v>509</v>
      </c>
      <c r="F33" s="41" t="s">
        <v>503</v>
      </c>
      <c r="G33" s="50">
        <v>1</v>
      </c>
      <c r="H33">
        <v>30</v>
      </c>
      <c r="I33">
        <v>424</v>
      </c>
      <c r="J33" s="44">
        <v>44723.291655092602</v>
      </c>
      <c r="K33" s="44"/>
      <c r="L33" s="44"/>
      <c r="M33" s="44" t="s">
        <v>78</v>
      </c>
      <c r="N33" s="62" t="s">
        <v>69</v>
      </c>
      <c r="O33" s="62">
        <v>5108</v>
      </c>
      <c r="P33" s="50">
        <v>0</v>
      </c>
      <c r="Q33">
        <v>80434</v>
      </c>
      <c r="R33" s="43">
        <v>44708.920937499999</v>
      </c>
      <c r="S33" s="43">
        <v>44724.983379629601</v>
      </c>
      <c r="T33" s="45" t="s">
        <v>510</v>
      </c>
      <c r="U33" s="45" t="s">
        <v>511</v>
      </c>
      <c r="V33" s="66">
        <v>93244</v>
      </c>
      <c r="W33" s="50">
        <v>0</v>
      </c>
      <c r="X33">
        <v>255</v>
      </c>
      <c r="Y33" s="50">
        <v>0</v>
      </c>
      <c r="Z33" s="50">
        <v>0</v>
      </c>
      <c r="AA33" s="50">
        <v>0</v>
      </c>
      <c r="AB33" s="50">
        <v>0</v>
      </c>
      <c r="AC33" s="50">
        <v>0</v>
      </c>
      <c r="AD33">
        <v>0</v>
      </c>
      <c r="AE33" s="43"/>
      <c r="AF33" s="50">
        <v>0</v>
      </c>
      <c r="AG33">
        <v>0</v>
      </c>
      <c r="AH33">
        <v>4</v>
      </c>
      <c r="AI33" s="50">
        <v>0</v>
      </c>
      <c r="AJ33"/>
      <c r="AK33"/>
      <c r="AL33" s="50">
        <v>0</v>
      </c>
      <c r="AM33" s="50">
        <v>1</v>
      </c>
      <c r="AN33">
        <v>0</v>
      </c>
      <c r="AO33" s="50">
        <v>0</v>
      </c>
      <c r="AP33" s="50">
        <v>0</v>
      </c>
      <c r="AQ33" s="50">
        <v>0</v>
      </c>
      <c r="AR33"/>
      <c r="AS33">
        <v>0</v>
      </c>
      <c r="AT33" s="50">
        <v>0</v>
      </c>
      <c r="AU33" s="50">
        <v>0</v>
      </c>
      <c r="AV33" s="50">
        <v>0</v>
      </c>
      <c r="AW33"/>
      <c r="AX33" s="50">
        <v>0</v>
      </c>
      <c r="AY33"/>
      <c r="AZ33"/>
      <c r="BA33" s="50">
        <v>0</v>
      </c>
      <c r="BB33" s="50">
        <v>0</v>
      </c>
      <c r="BC33">
        <v>0</v>
      </c>
      <c r="BD33">
        <v>0</v>
      </c>
      <c r="BE33" s="50">
        <v>1</v>
      </c>
      <c r="BF33" s="50">
        <v>0</v>
      </c>
      <c r="BG33" s="50">
        <v>1</v>
      </c>
      <c r="BH33" s="50">
        <v>0</v>
      </c>
      <c r="BI33">
        <v>-1</v>
      </c>
    </row>
    <row r="34" spans="1:61" ht="18" x14ac:dyDescent="0.35">
      <c r="A34" s="53" t="s">
        <v>239</v>
      </c>
      <c r="B34" s="59" t="s">
        <v>262</v>
      </c>
      <c r="C34" s="19" t="s">
        <v>234</v>
      </c>
      <c r="D34" s="59" t="s">
        <v>263</v>
      </c>
      <c r="E34" s="60" t="s">
        <v>266</v>
      </c>
      <c r="F34" s="59" t="s">
        <v>267</v>
      </c>
      <c r="G34" s="54">
        <v>1</v>
      </c>
      <c r="H34" s="3">
        <v>25</v>
      </c>
      <c r="I34" s="3">
        <v>495</v>
      </c>
      <c r="J34" s="55">
        <v>44618.333321759303</v>
      </c>
      <c r="K34" s="55"/>
      <c r="L34" s="55"/>
      <c r="M34" s="55" t="s">
        <v>78</v>
      </c>
      <c r="N34" s="56" t="s">
        <v>69</v>
      </c>
      <c r="O34" s="56">
        <v>4963</v>
      </c>
      <c r="P34" s="54">
        <v>0</v>
      </c>
      <c r="Q34" s="3">
        <v>64302</v>
      </c>
      <c r="R34" s="57">
        <v>44616.249976851897</v>
      </c>
      <c r="S34" s="57">
        <v>44621.950358796297</v>
      </c>
      <c r="T34" s="58" t="s">
        <v>268</v>
      </c>
      <c r="U34" s="58" t="s">
        <v>269</v>
      </c>
      <c r="V34" s="67">
        <v>77280</v>
      </c>
      <c r="W34" s="54">
        <v>0</v>
      </c>
      <c r="X34" s="3">
        <v>255</v>
      </c>
      <c r="Y34" s="54">
        <v>0</v>
      </c>
      <c r="Z34" s="54">
        <v>0</v>
      </c>
      <c r="AA34" s="54">
        <v>0</v>
      </c>
      <c r="AB34" s="54">
        <v>0</v>
      </c>
      <c r="AC34" s="54">
        <v>0</v>
      </c>
      <c r="AD34" s="3">
        <v>0</v>
      </c>
      <c r="AE34" s="57"/>
      <c r="AF34" s="54">
        <v>0</v>
      </c>
      <c r="AG34" s="3">
        <v>0</v>
      </c>
      <c r="AH34" s="3">
        <v>1</v>
      </c>
      <c r="AI34" s="54">
        <v>0</v>
      </c>
      <c r="AL34" s="54">
        <v>1</v>
      </c>
      <c r="AM34" s="54">
        <v>1</v>
      </c>
      <c r="AN34" s="3">
        <v>0</v>
      </c>
      <c r="AO34" s="54">
        <v>0</v>
      </c>
      <c r="AP34" s="54">
        <v>0</v>
      </c>
      <c r="AQ34" s="54">
        <v>0</v>
      </c>
      <c r="AR34" s="3" t="s">
        <v>270</v>
      </c>
      <c r="AS34" s="3">
        <v>0</v>
      </c>
      <c r="AT34" s="54">
        <v>0</v>
      </c>
      <c r="AU34" s="54">
        <v>0</v>
      </c>
      <c r="AV34" s="54">
        <v>0</v>
      </c>
      <c r="AW34" s="3" t="s">
        <v>270</v>
      </c>
      <c r="AX34" s="54">
        <v>0</v>
      </c>
      <c r="BA34" s="54">
        <v>0</v>
      </c>
      <c r="BB34" s="54">
        <v>0</v>
      </c>
      <c r="BC34" s="3">
        <v>0</v>
      </c>
      <c r="BD34" s="3">
        <v>0</v>
      </c>
      <c r="BE34" s="54">
        <v>1</v>
      </c>
      <c r="BF34" s="54">
        <v>0</v>
      </c>
      <c r="BG34" s="54">
        <v>1</v>
      </c>
      <c r="BH34" s="54">
        <v>0</v>
      </c>
      <c r="BI34" s="3">
        <v>-1</v>
      </c>
    </row>
    <row r="35" spans="1:61" ht="18" x14ac:dyDescent="0.35">
      <c r="A35" s="53" t="s">
        <v>239</v>
      </c>
      <c r="B35" s="59" t="s">
        <v>262</v>
      </c>
      <c r="C35" s="19" t="s">
        <v>234</v>
      </c>
      <c r="D35" s="59" t="s">
        <v>263</v>
      </c>
      <c r="E35" s="60" t="s">
        <v>337</v>
      </c>
      <c r="F35" s="59" t="s">
        <v>338</v>
      </c>
      <c r="G35" s="54">
        <v>1</v>
      </c>
      <c r="H35" s="3">
        <v>15</v>
      </c>
      <c r="I35" s="3">
        <v>1429</v>
      </c>
      <c r="J35" s="55">
        <v>44657.291655092602</v>
      </c>
      <c r="K35" s="55"/>
      <c r="L35" s="55"/>
      <c r="M35" s="55" t="s">
        <v>90</v>
      </c>
      <c r="N35" s="61" t="s">
        <v>69</v>
      </c>
      <c r="O35" s="61">
        <v>4970</v>
      </c>
      <c r="P35" s="54">
        <v>0</v>
      </c>
      <c r="Q35" s="3">
        <v>64302</v>
      </c>
      <c r="R35" s="57">
        <v>44620.316446759301</v>
      </c>
      <c r="S35" s="57">
        <v>44664.113865740699</v>
      </c>
      <c r="T35" s="58" t="s">
        <v>339</v>
      </c>
      <c r="U35" s="58" t="s">
        <v>340</v>
      </c>
      <c r="V35" s="67">
        <v>77280</v>
      </c>
      <c r="W35" s="54">
        <v>0</v>
      </c>
      <c r="X35" s="3">
        <v>255</v>
      </c>
      <c r="Y35" s="54">
        <v>0</v>
      </c>
      <c r="Z35" s="54">
        <v>0</v>
      </c>
      <c r="AA35" s="54">
        <v>0</v>
      </c>
      <c r="AB35" s="54">
        <v>0</v>
      </c>
      <c r="AC35" s="54">
        <v>0</v>
      </c>
      <c r="AD35" s="3">
        <v>0</v>
      </c>
      <c r="AE35" s="57"/>
      <c r="AF35" s="54">
        <v>0</v>
      </c>
      <c r="AG35" s="3">
        <v>0</v>
      </c>
      <c r="AH35" s="3">
        <v>2</v>
      </c>
      <c r="AI35" s="54">
        <v>0</v>
      </c>
      <c r="AL35" s="54">
        <v>0</v>
      </c>
      <c r="AM35" s="54">
        <v>1</v>
      </c>
      <c r="AN35" s="3">
        <v>0</v>
      </c>
      <c r="AO35" s="54">
        <v>0</v>
      </c>
      <c r="AP35" s="54">
        <v>0</v>
      </c>
      <c r="AQ35" s="54">
        <v>0</v>
      </c>
      <c r="AR35" s="3" t="s">
        <v>270</v>
      </c>
      <c r="AS35" s="3">
        <v>0</v>
      </c>
      <c r="AT35" s="54">
        <v>0</v>
      </c>
      <c r="AU35" s="54">
        <v>0</v>
      </c>
      <c r="AV35" s="54">
        <v>0</v>
      </c>
      <c r="AW35" s="3" t="s">
        <v>270</v>
      </c>
      <c r="AX35" s="54">
        <v>0</v>
      </c>
      <c r="BA35" s="54">
        <v>0</v>
      </c>
      <c r="BB35" s="54">
        <v>0</v>
      </c>
      <c r="BC35" s="3">
        <v>0</v>
      </c>
      <c r="BD35" s="3">
        <v>0</v>
      </c>
      <c r="BE35" s="54">
        <v>1</v>
      </c>
      <c r="BF35" s="54">
        <v>0</v>
      </c>
      <c r="BG35" s="54">
        <v>1</v>
      </c>
      <c r="BH35" s="54">
        <v>0</v>
      </c>
      <c r="BI35" s="3">
        <v>-1</v>
      </c>
    </row>
    <row r="36" spans="1:61" ht="18" x14ac:dyDescent="0.35">
      <c r="A36" s="53" t="s">
        <v>239</v>
      </c>
      <c r="B36" s="59" t="s">
        <v>262</v>
      </c>
      <c r="C36" s="19" t="s">
        <v>234</v>
      </c>
      <c r="D36" s="59" t="s">
        <v>263</v>
      </c>
      <c r="E36" s="60" t="s">
        <v>341</v>
      </c>
      <c r="F36" s="59" t="s">
        <v>342</v>
      </c>
      <c r="G36" s="54">
        <v>1</v>
      </c>
      <c r="H36" s="3">
        <v>15</v>
      </c>
      <c r="I36" s="3">
        <v>643</v>
      </c>
      <c r="J36" s="55">
        <v>44625.333321759303</v>
      </c>
      <c r="K36" s="55"/>
      <c r="L36" s="55"/>
      <c r="M36" s="55" t="s">
        <v>75</v>
      </c>
      <c r="N36" s="61" t="s">
        <v>69</v>
      </c>
      <c r="O36" s="61">
        <v>4963</v>
      </c>
      <c r="P36" s="54">
        <v>0</v>
      </c>
      <c r="Q36" s="3">
        <v>64302</v>
      </c>
      <c r="R36" s="57">
        <v>44621.687129629601</v>
      </c>
      <c r="S36" s="57">
        <v>44664.105185185203</v>
      </c>
      <c r="T36" s="58" t="s">
        <v>343</v>
      </c>
      <c r="U36" s="58" t="s">
        <v>344</v>
      </c>
      <c r="V36" s="67">
        <v>77280</v>
      </c>
      <c r="W36" s="54">
        <v>0</v>
      </c>
      <c r="X36" s="3">
        <v>255</v>
      </c>
      <c r="Y36" s="54">
        <v>0</v>
      </c>
      <c r="Z36" s="54">
        <v>0</v>
      </c>
      <c r="AA36" s="54">
        <v>1</v>
      </c>
      <c r="AB36" s="54">
        <v>0</v>
      </c>
      <c r="AC36" s="54">
        <v>0</v>
      </c>
      <c r="AD36" s="3">
        <v>0</v>
      </c>
      <c r="AE36" s="57"/>
      <c r="AF36" s="54">
        <v>0</v>
      </c>
      <c r="AG36" s="3">
        <v>0</v>
      </c>
      <c r="AH36" s="3">
        <v>3</v>
      </c>
      <c r="AI36" s="54">
        <v>0</v>
      </c>
      <c r="AL36" s="54">
        <v>0</v>
      </c>
      <c r="AM36" s="54">
        <v>0</v>
      </c>
      <c r="AN36" s="3">
        <v>0</v>
      </c>
      <c r="AO36" s="54">
        <v>1</v>
      </c>
      <c r="AP36" s="54">
        <v>0</v>
      </c>
      <c r="AQ36" s="54">
        <v>0</v>
      </c>
      <c r="AR36" s="3" t="s">
        <v>270</v>
      </c>
      <c r="AS36" s="3">
        <v>0</v>
      </c>
      <c r="AT36" s="54">
        <v>0</v>
      </c>
      <c r="AU36" s="54">
        <v>0</v>
      </c>
      <c r="AV36" s="54">
        <v>0</v>
      </c>
      <c r="AW36" s="3" t="s">
        <v>270</v>
      </c>
      <c r="AX36" s="54">
        <v>0</v>
      </c>
      <c r="BA36" s="54">
        <v>0</v>
      </c>
      <c r="BB36" s="54">
        <v>0</v>
      </c>
      <c r="BC36" s="3">
        <v>0</v>
      </c>
      <c r="BD36" s="3">
        <v>0</v>
      </c>
      <c r="BE36" s="54">
        <v>1</v>
      </c>
      <c r="BF36" s="54">
        <v>0</v>
      </c>
      <c r="BG36" s="54">
        <v>1</v>
      </c>
      <c r="BH36" s="54">
        <v>0</v>
      </c>
      <c r="BI36" s="3">
        <v>-1</v>
      </c>
    </row>
    <row r="37" spans="1:61" ht="18" x14ac:dyDescent="0.35">
      <c r="A37" s="53" t="s">
        <v>239</v>
      </c>
      <c r="B37" s="59" t="s">
        <v>262</v>
      </c>
      <c r="C37" s="19" t="s">
        <v>234</v>
      </c>
      <c r="D37" s="59" t="s">
        <v>263</v>
      </c>
      <c r="E37" s="60" t="s">
        <v>345</v>
      </c>
      <c r="F37" s="59" t="s">
        <v>346</v>
      </c>
      <c r="G37" s="54">
        <v>1</v>
      </c>
      <c r="H37" s="3">
        <v>10</v>
      </c>
      <c r="I37" s="3">
        <v>1084</v>
      </c>
      <c r="J37" s="55">
        <v>44635.291655092602</v>
      </c>
      <c r="K37" s="55"/>
      <c r="L37" s="55"/>
      <c r="M37" s="55" t="s">
        <v>90</v>
      </c>
      <c r="N37" s="61" t="s">
        <v>69</v>
      </c>
      <c r="O37" s="61">
        <v>4970</v>
      </c>
      <c r="P37" s="54">
        <v>0</v>
      </c>
      <c r="Q37" s="3">
        <v>64302</v>
      </c>
      <c r="R37" s="57">
        <v>44620.316307870402</v>
      </c>
      <c r="S37" s="57">
        <v>44643.272384259297</v>
      </c>
      <c r="T37" s="58" t="s">
        <v>347</v>
      </c>
      <c r="U37" s="58" t="s">
        <v>348</v>
      </c>
      <c r="V37" s="67">
        <v>77280</v>
      </c>
      <c r="W37" s="54">
        <v>0</v>
      </c>
      <c r="X37" s="3">
        <v>255</v>
      </c>
      <c r="Y37" s="54">
        <v>0</v>
      </c>
      <c r="Z37" s="54">
        <v>0</v>
      </c>
      <c r="AA37" s="54">
        <v>0</v>
      </c>
      <c r="AB37" s="54">
        <v>0</v>
      </c>
      <c r="AC37" s="54">
        <v>0</v>
      </c>
      <c r="AD37" s="3">
        <v>0</v>
      </c>
      <c r="AE37" s="57"/>
      <c r="AF37" s="54">
        <v>0</v>
      </c>
      <c r="AG37" s="3">
        <v>0</v>
      </c>
      <c r="AH37" s="3">
        <v>4</v>
      </c>
      <c r="AI37" s="54">
        <v>0</v>
      </c>
      <c r="AL37" s="54">
        <v>0</v>
      </c>
      <c r="AM37" s="54">
        <v>1</v>
      </c>
      <c r="AN37" s="3">
        <v>0</v>
      </c>
      <c r="AO37" s="54">
        <v>0</v>
      </c>
      <c r="AP37" s="54">
        <v>0</v>
      </c>
      <c r="AQ37" s="54">
        <v>0</v>
      </c>
      <c r="AR37" s="3" t="s">
        <v>270</v>
      </c>
      <c r="AS37" s="3">
        <v>0</v>
      </c>
      <c r="AT37" s="54">
        <v>0</v>
      </c>
      <c r="AU37" s="54">
        <v>0</v>
      </c>
      <c r="AV37" s="54">
        <v>0</v>
      </c>
      <c r="AW37" s="3" t="s">
        <v>270</v>
      </c>
      <c r="AX37" s="54">
        <v>0</v>
      </c>
      <c r="BA37" s="54">
        <v>0</v>
      </c>
      <c r="BB37" s="54">
        <v>0</v>
      </c>
      <c r="BC37" s="3">
        <v>0</v>
      </c>
      <c r="BD37" s="3">
        <v>0</v>
      </c>
      <c r="BE37" s="54">
        <v>1</v>
      </c>
      <c r="BF37" s="54">
        <v>0</v>
      </c>
      <c r="BG37" s="54">
        <v>1</v>
      </c>
      <c r="BH37" s="54">
        <v>0</v>
      </c>
      <c r="BI37" s="3">
        <v>-1</v>
      </c>
    </row>
    <row r="38" spans="1:61" ht="18" x14ac:dyDescent="0.35">
      <c r="A38" s="53" t="s">
        <v>239</v>
      </c>
      <c r="B38" s="59" t="s">
        <v>262</v>
      </c>
      <c r="C38" s="19" t="s">
        <v>234</v>
      </c>
      <c r="D38" s="59" t="s">
        <v>263</v>
      </c>
      <c r="E38" s="60" t="s">
        <v>349</v>
      </c>
      <c r="F38" s="59" t="s">
        <v>350</v>
      </c>
      <c r="G38" s="54">
        <v>1</v>
      </c>
      <c r="H38" s="3">
        <v>25</v>
      </c>
      <c r="I38" s="3">
        <v>506</v>
      </c>
      <c r="J38" s="55">
        <v>44629.333321759303</v>
      </c>
      <c r="K38" s="55"/>
      <c r="L38" s="55"/>
      <c r="M38" s="55" t="s">
        <v>90</v>
      </c>
      <c r="N38" s="61" t="s">
        <v>69</v>
      </c>
      <c r="O38" s="61">
        <v>4970</v>
      </c>
      <c r="P38" s="54">
        <v>0</v>
      </c>
      <c r="Q38" s="3">
        <v>64302</v>
      </c>
      <c r="R38" s="57">
        <v>44620.316145833298</v>
      </c>
      <c r="S38" s="57">
        <v>44643.271261574097</v>
      </c>
      <c r="T38" s="58" t="s">
        <v>351</v>
      </c>
      <c r="U38" s="58" t="s">
        <v>352</v>
      </c>
      <c r="V38" s="67">
        <v>77280</v>
      </c>
      <c r="W38" s="54">
        <v>0</v>
      </c>
      <c r="X38" s="3">
        <v>255</v>
      </c>
      <c r="Y38" s="54">
        <v>0</v>
      </c>
      <c r="Z38" s="54">
        <v>0</v>
      </c>
      <c r="AA38" s="54">
        <v>0</v>
      </c>
      <c r="AB38" s="54">
        <v>0</v>
      </c>
      <c r="AC38" s="54">
        <v>0</v>
      </c>
      <c r="AD38" s="3">
        <v>0</v>
      </c>
      <c r="AE38" s="57"/>
      <c r="AF38" s="54">
        <v>0</v>
      </c>
      <c r="AG38" s="3">
        <v>0</v>
      </c>
      <c r="AH38" s="3">
        <v>5</v>
      </c>
      <c r="AI38" s="54">
        <v>0</v>
      </c>
      <c r="AL38" s="54">
        <v>0</v>
      </c>
      <c r="AM38" s="54">
        <v>1</v>
      </c>
      <c r="AN38" s="3">
        <v>0</v>
      </c>
      <c r="AO38" s="54">
        <v>0</v>
      </c>
      <c r="AP38" s="54">
        <v>0</v>
      </c>
      <c r="AQ38" s="54">
        <v>0</v>
      </c>
      <c r="AR38" s="3" t="s">
        <v>270</v>
      </c>
      <c r="AS38" s="3">
        <v>0</v>
      </c>
      <c r="AT38" s="54">
        <v>0</v>
      </c>
      <c r="AU38" s="54">
        <v>0</v>
      </c>
      <c r="AV38" s="54">
        <v>0</v>
      </c>
      <c r="AW38" s="3" t="s">
        <v>270</v>
      </c>
      <c r="AX38" s="54">
        <v>0</v>
      </c>
      <c r="BA38" s="54">
        <v>0</v>
      </c>
      <c r="BB38" s="54">
        <v>0</v>
      </c>
      <c r="BC38" s="3">
        <v>0</v>
      </c>
      <c r="BD38" s="3">
        <v>0</v>
      </c>
      <c r="BE38" s="54">
        <v>1</v>
      </c>
      <c r="BF38" s="54">
        <v>0</v>
      </c>
      <c r="BG38" s="54">
        <v>1</v>
      </c>
      <c r="BH38" s="54">
        <v>0</v>
      </c>
      <c r="BI38" s="3">
        <v>-1</v>
      </c>
    </row>
    <row r="39" spans="1:61" ht="18" x14ac:dyDescent="0.35">
      <c r="A39" s="53" t="s">
        <v>239</v>
      </c>
      <c r="B39" s="59" t="s">
        <v>262</v>
      </c>
      <c r="C39" s="19" t="s">
        <v>234</v>
      </c>
      <c r="D39" s="59" t="s">
        <v>263</v>
      </c>
      <c r="E39" s="60" t="s">
        <v>353</v>
      </c>
      <c r="F39" s="59" t="s">
        <v>354</v>
      </c>
      <c r="G39" s="54">
        <v>1</v>
      </c>
      <c r="H39" s="3">
        <v>10</v>
      </c>
      <c r="I39" s="3">
        <v>815</v>
      </c>
      <c r="J39" s="55">
        <v>44639.291655092602</v>
      </c>
      <c r="K39" s="55"/>
      <c r="L39" s="55"/>
      <c r="M39" s="55" t="s">
        <v>90</v>
      </c>
      <c r="N39" s="61" t="s">
        <v>69</v>
      </c>
      <c r="O39" s="61">
        <v>4970</v>
      </c>
      <c r="P39" s="54">
        <v>0</v>
      </c>
      <c r="Q39" s="3">
        <v>64302</v>
      </c>
      <c r="R39" s="57">
        <v>44620.316307870402</v>
      </c>
      <c r="S39" s="57">
        <v>44664.105439814797</v>
      </c>
      <c r="T39" s="58" t="s">
        <v>355</v>
      </c>
      <c r="U39" s="58" t="s">
        <v>356</v>
      </c>
      <c r="V39" s="67">
        <v>77280</v>
      </c>
      <c r="W39" s="54">
        <v>0</v>
      </c>
      <c r="X39" s="3">
        <v>255</v>
      </c>
      <c r="Y39" s="54">
        <v>0</v>
      </c>
      <c r="Z39" s="54">
        <v>0</v>
      </c>
      <c r="AA39" s="54">
        <v>0</v>
      </c>
      <c r="AB39" s="54">
        <v>0</v>
      </c>
      <c r="AC39" s="54">
        <v>0</v>
      </c>
      <c r="AD39" s="3">
        <v>0</v>
      </c>
      <c r="AE39" s="57"/>
      <c r="AF39" s="54">
        <v>0</v>
      </c>
      <c r="AG39" s="3">
        <v>0</v>
      </c>
      <c r="AH39" s="3">
        <v>6</v>
      </c>
      <c r="AI39" s="54">
        <v>0</v>
      </c>
      <c r="AL39" s="54">
        <v>0</v>
      </c>
      <c r="AM39" s="54">
        <v>1</v>
      </c>
      <c r="AN39" s="3">
        <v>0</v>
      </c>
      <c r="AO39" s="54">
        <v>0</v>
      </c>
      <c r="AP39" s="54">
        <v>0</v>
      </c>
      <c r="AQ39" s="54">
        <v>0</v>
      </c>
      <c r="AR39" s="3" t="s">
        <v>270</v>
      </c>
      <c r="AS39" s="3">
        <v>0</v>
      </c>
      <c r="AT39" s="54">
        <v>0</v>
      </c>
      <c r="AU39" s="54">
        <v>0</v>
      </c>
      <c r="AV39" s="54">
        <v>0</v>
      </c>
      <c r="AW39" s="3" t="s">
        <v>270</v>
      </c>
      <c r="AX39" s="54">
        <v>0</v>
      </c>
      <c r="BA39" s="54">
        <v>0</v>
      </c>
      <c r="BB39" s="54">
        <v>0</v>
      </c>
      <c r="BC39" s="3">
        <v>0</v>
      </c>
      <c r="BD39" s="3">
        <v>0</v>
      </c>
      <c r="BE39" s="54">
        <v>1</v>
      </c>
      <c r="BF39" s="54">
        <v>0</v>
      </c>
      <c r="BG39" s="54">
        <v>1</v>
      </c>
      <c r="BH39" s="54">
        <v>0</v>
      </c>
      <c r="BI39" s="3">
        <v>-1</v>
      </c>
    </row>
    <row r="40" spans="1:61" ht="18" x14ac:dyDescent="0.35">
      <c r="A40" s="53" t="s">
        <v>239</v>
      </c>
      <c r="B40" s="59" t="s">
        <v>262</v>
      </c>
      <c r="C40" s="19" t="s">
        <v>234</v>
      </c>
      <c r="D40" s="59" t="s">
        <v>263</v>
      </c>
      <c r="E40" s="60" t="s">
        <v>357</v>
      </c>
      <c r="F40" s="59" t="s">
        <v>358</v>
      </c>
      <c r="G40" s="54">
        <v>1</v>
      </c>
      <c r="H40" s="3">
        <v>15</v>
      </c>
      <c r="I40" s="3">
        <v>2618</v>
      </c>
      <c r="J40" s="55">
        <v>44651.291655092602</v>
      </c>
      <c r="K40" s="55"/>
      <c r="L40" s="55"/>
      <c r="M40" s="55" t="s">
        <v>90</v>
      </c>
      <c r="N40" s="61" t="s">
        <v>69</v>
      </c>
      <c r="O40" s="61">
        <v>4970</v>
      </c>
      <c r="P40" s="54">
        <v>0</v>
      </c>
      <c r="Q40" s="3">
        <v>64302</v>
      </c>
      <c r="R40" s="57">
        <v>44620.316319444399</v>
      </c>
      <c r="S40" s="57">
        <v>44664.111979166701</v>
      </c>
      <c r="T40" s="58" t="s">
        <v>359</v>
      </c>
      <c r="U40" s="58" t="s">
        <v>360</v>
      </c>
      <c r="V40" s="67">
        <v>77280</v>
      </c>
      <c r="W40" s="54">
        <v>0</v>
      </c>
      <c r="X40" s="3">
        <v>255</v>
      </c>
      <c r="Y40" s="54">
        <v>0</v>
      </c>
      <c r="Z40" s="54">
        <v>0</v>
      </c>
      <c r="AA40" s="54">
        <v>0</v>
      </c>
      <c r="AB40" s="54">
        <v>0</v>
      </c>
      <c r="AC40" s="54">
        <v>0</v>
      </c>
      <c r="AD40" s="3">
        <v>0</v>
      </c>
      <c r="AE40" s="57"/>
      <c r="AF40" s="54">
        <v>0</v>
      </c>
      <c r="AG40" s="3">
        <v>0</v>
      </c>
      <c r="AH40" s="3">
        <v>7</v>
      </c>
      <c r="AI40" s="54">
        <v>0</v>
      </c>
      <c r="AL40" s="54">
        <v>0</v>
      </c>
      <c r="AM40" s="54">
        <v>1</v>
      </c>
      <c r="AN40" s="3">
        <v>0</v>
      </c>
      <c r="AO40" s="54">
        <v>0</v>
      </c>
      <c r="AP40" s="54">
        <v>0</v>
      </c>
      <c r="AQ40" s="54">
        <v>0</v>
      </c>
      <c r="AR40" s="3" t="s">
        <v>270</v>
      </c>
      <c r="AS40" s="3">
        <v>0</v>
      </c>
      <c r="AT40" s="54">
        <v>0</v>
      </c>
      <c r="AU40" s="54">
        <v>0</v>
      </c>
      <c r="AV40" s="54">
        <v>0</v>
      </c>
      <c r="AW40" s="3" t="s">
        <v>270</v>
      </c>
      <c r="AX40" s="54">
        <v>0</v>
      </c>
      <c r="BA40" s="54">
        <v>0</v>
      </c>
      <c r="BB40" s="54">
        <v>0</v>
      </c>
      <c r="BC40" s="3">
        <v>0</v>
      </c>
      <c r="BD40" s="3">
        <v>0</v>
      </c>
      <c r="BE40" s="54">
        <v>1</v>
      </c>
      <c r="BF40" s="54">
        <v>0</v>
      </c>
      <c r="BG40" s="54">
        <v>1</v>
      </c>
      <c r="BH40" s="54">
        <v>0</v>
      </c>
      <c r="BI40" s="3">
        <v>-1</v>
      </c>
    </row>
    <row r="41" spans="1:61" ht="18" x14ac:dyDescent="0.35">
      <c r="A41" s="53" t="s">
        <v>239</v>
      </c>
      <c r="B41" s="59" t="s">
        <v>262</v>
      </c>
      <c r="C41" s="19" t="s">
        <v>234</v>
      </c>
      <c r="D41" s="59" t="s">
        <v>263</v>
      </c>
      <c r="E41" s="60" t="s">
        <v>361</v>
      </c>
      <c r="F41" s="59" t="s">
        <v>362</v>
      </c>
      <c r="G41" s="54">
        <v>1</v>
      </c>
      <c r="H41" s="3">
        <v>25</v>
      </c>
      <c r="I41" s="3">
        <v>382</v>
      </c>
      <c r="J41" s="55">
        <v>44653.291655092602</v>
      </c>
      <c r="K41" s="55"/>
      <c r="L41" s="55"/>
      <c r="M41" s="55" t="s">
        <v>90</v>
      </c>
      <c r="N41" s="61" t="s">
        <v>69</v>
      </c>
      <c r="O41" s="61">
        <v>4970</v>
      </c>
      <c r="P41" s="54">
        <v>0</v>
      </c>
      <c r="Q41" s="3">
        <v>64302</v>
      </c>
      <c r="R41" s="57">
        <v>44620.316446759301</v>
      </c>
      <c r="S41" s="57">
        <v>44664.106527777803</v>
      </c>
      <c r="T41" s="58" t="s">
        <v>363</v>
      </c>
      <c r="U41" s="58" t="s">
        <v>364</v>
      </c>
      <c r="V41" s="67">
        <v>77280</v>
      </c>
      <c r="W41" s="54">
        <v>0</v>
      </c>
      <c r="X41" s="3">
        <v>255</v>
      </c>
      <c r="Y41" s="54">
        <v>0</v>
      </c>
      <c r="Z41" s="54">
        <v>0</v>
      </c>
      <c r="AA41" s="54">
        <v>0</v>
      </c>
      <c r="AB41" s="54">
        <v>0</v>
      </c>
      <c r="AC41" s="54">
        <v>0</v>
      </c>
      <c r="AD41" s="3">
        <v>0</v>
      </c>
      <c r="AE41" s="57"/>
      <c r="AF41" s="54">
        <v>0</v>
      </c>
      <c r="AG41" s="3">
        <v>0</v>
      </c>
      <c r="AH41" s="3">
        <v>8</v>
      </c>
      <c r="AI41" s="54">
        <v>0</v>
      </c>
      <c r="AL41" s="54">
        <v>0</v>
      </c>
      <c r="AM41" s="54">
        <v>1</v>
      </c>
      <c r="AN41" s="3">
        <v>0</v>
      </c>
      <c r="AO41" s="54">
        <v>0</v>
      </c>
      <c r="AP41" s="54">
        <v>0</v>
      </c>
      <c r="AQ41" s="54">
        <v>0</v>
      </c>
      <c r="AR41" s="3" t="s">
        <v>270</v>
      </c>
      <c r="AS41" s="3">
        <v>0</v>
      </c>
      <c r="AT41" s="54">
        <v>0</v>
      </c>
      <c r="AU41" s="54">
        <v>0</v>
      </c>
      <c r="AV41" s="54">
        <v>0</v>
      </c>
      <c r="AW41" s="3" t="s">
        <v>270</v>
      </c>
      <c r="AX41" s="54">
        <v>0</v>
      </c>
      <c r="BA41" s="54">
        <v>0</v>
      </c>
      <c r="BB41" s="54">
        <v>0</v>
      </c>
      <c r="BC41" s="3">
        <v>0</v>
      </c>
      <c r="BD41" s="3">
        <v>0</v>
      </c>
      <c r="BE41" s="54">
        <v>1</v>
      </c>
      <c r="BF41" s="54">
        <v>0</v>
      </c>
      <c r="BG41" s="54">
        <v>1</v>
      </c>
      <c r="BH41" s="54">
        <v>0</v>
      </c>
      <c r="BI41" s="3">
        <v>-1</v>
      </c>
    </row>
    <row r="42" spans="1:61" ht="18" x14ac:dyDescent="0.35">
      <c r="A42" s="53" t="s">
        <v>239</v>
      </c>
      <c r="B42" s="59" t="s">
        <v>262</v>
      </c>
      <c r="C42" s="19" t="s">
        <v>234</v>
      </c>
      <c r="D42" s="59" t="s">
        <v>263</v>
      </c>
      <c r="E42" s="60" t="s">
        <v>365</v>
      </c>
      <c r="F42" s="59" t="s">
        <v>366</v>
      </c>
      <c r="G42" s="54">
        <v>1</v>
      </c>
      <c r="H42" s="3">
        <v>30</v>
      </c>
      <c r="I42" s="3">
        <v>1695</v>
      </c>
      <c r="J42" s="55">
        <v>44688.291655092602</v>
      </c>
      <c r="K42" s="55"/>
      <c r="L42" s="55"/>
      <c r="M42" s="55" t="s">
        <v>90</v>
      </c>
      <c r="N42" s="61" t="s">
        <v>69</v>
      </c>
      <c r="O42" s="61">
        <v>0</v>
      </c>
      <c r="P42" s="54">
        <v>0</v>
      </c>
      <c r="Q42" s="3">
        <v>64302</v>
      </c>
      <c r="R42" s="57">
        <v>44620.316446759301</v>
      </c>
      <c r="S42" s="57">
        <v>44687.698935185203</v>
      </c>
      <c r="T42" s="58" t="s">
        <v>367</v>
      </c>
      <c r="U42" s="58" t="s">
        <v>368</v>
      </c>
      <c r="V42" s="67">
        <v>77280</v>
      </c>
      <c r="W42" s="54">
        <v>0</v>
      </c>
      <c r="X42" s="3">
        <v>255</v>
      </c>
      <c r="Y42" s="54">
        <v>0</v>
      </c>
      <c r="Z42" s="54">
        <v>0</v>
      </c>
      <c r="AA42" s="54">
        <v>0</v>
      </c>
      <c r="AB42" s="54">
        <v>0</v>
      </c>
      <c r="AC42" s="54">
        <v>0</v>
      </c>
      <c r="AD42" s="3">
        <v>0</v>
      </c>
      <c r="AE42" s="57"/>
      <c r="AF42" s="54">
        <v>0</v>
      </c>
      <c r="AG42" s="3">
        <v>0</v>
      </c>
      <c r="AH42" s="3">
        <v>9</v>
      </c>
      <c r="AI42" s="54">
        <v>0</v>
      </c>
      <c r="AL42" s="54">
        <v>1</v>
      </c>
      <c r="AM42" s="54">
        <v>1</v>
      </c>
      <c r="AN42" s="3">
        <v>0</v>
      </c>
      <c r="AO42" s="54">
        <v>0</v>
      </c>
      <c r="AP42" s="54">
        <v>0</v>
      </c>
      <c r="AQ42" s="54">
        <v>0</v>
      </c>
      <c r="AR42" s="3" t="s">
        <v>270</v>
      </c>
      <c r="AS42" s="3">
        <v>0</v>
      </c>
      <c r="AT42" s="54">
        <v>0</v>
      </c>
      <c r="AU42" s="54">
        <v>0</v>
      </c>
      <c r="AV42" s="54">
        <v>0</v>
      </c>
      <c r="AW42" s="3" t="s">
        <v>270</v>
      </c>
      <c r="AX42" s="54">
        <v>0</v>
      </c>
      <c r="BA42" s="54">
        <v>0</v>
      </c>
      <c r="BB42" s="54">
        <v>0</v>
      </c>
      <c r="BC42" s="3">
        <v>0</v>
      </c>
      <c r="BD42" s="3">
        <v>0</v>
      </c>
      <c r="BE42" s="54">
        <v>1</v>
      </c>
      <c r="BF42" s="54">
        <v>0</v>
      </c>
      <c r="BG42" s="54">
        <v>1</v>
      </c>
      <c r="BH42" s="54">
        <v>0</v>
      </c>
      <c r="BI42" s="3">
        <v>-1</v>
      </c>
    </row>
    <row r="43" spans="1:61" ht="18" x14ac:dyDescent="0.35">
      <c r="A43" s="53" t="s">
        <v>239</v>
      </c>
      <c r="B43" s="59" t="s">
        <v>262</v>
      </c>
      <c r="C43" s="19" t="s">
        <v>234</v>
      </c>
      <c r="D43" s="59" t="s">
        <v>263</v>
      </c>
      <c r="E43" s="60" t="s">
        <v>459</v>
      </c>
      <c r="F43" s="59" t="s">
        <v>460</v>
      </c>
      <c r="G43" s="54">
        <v>1</v>
      </c>
      <c r="H43" s="3">
        <v>25</v>
      </c>
      <c r="I43" s="3">
        <v>46</v>
      </c>
      <c r="J43" s="55">
        <v>44695.291655092602</v>
      </c>
      <c r="K43" s="55"/>
      <c r="L43" s="55"/>
      <c r="M43" s="55" t="s">
        <v>90</v>
      </c>
      <c r="N43" s="61" t="s">
        <v>69</v>
      </c>
      <c r="O43" s="61">
        <v>4970</v>
      </c>
      <c r="P43" s="54">
        <v>0</v>
      </c>
      <c r="Q43" s="3">
        <v>64302</v>
      </c>
      <c r="R43" s="57">
        <v>44685.667696759301</v>
      </c>
      <c r="S43" s="57">
        <v>44687.698784722197</v>
      </c>
      <c r="T43" s="58" t="s">
        <v>461</v>
      </c>
      <c r="U43" s="58" t="s">
        <v>462</v>
      </c>
      <c r="V43" s="67">
        <v>77280</v>
      </c>
      <c r="W43" s="54">
        <v>0</v>
      </c>
      <c r="X43" s="3">
        <v>255</v>
      </c>
      <c r="Y43" s="54">
        <v>0</v>
      </c>
      <c r="Z43" s="54">
        <v>0</v>
      </c>
      <c r="AA43" s="54">
        <v>0</v>
      </c>
      <c r="AB43" s="54">
        <v>0</v>
      </c>
      <c r="AC43" s="54">
        <v>0</v>
      </c>
      <c r="AD43" s="3">
        <v>0</v>
      </c>
      <c r="AE43" s="57"/>
      <c r="AF43" s="54">
        <v>0</v>
      </c>
      <c r="AG43" s="3">
        <v>0</v>
      </c>
      <c r="AH43" s="3">
        <v>11</v>
      </c>
      <c r="AI43" s="54">
        <v>0</v>
      </c>
      <c r="AL43" s="54">
        <v>1</v>
      </c>
      <c r="AM43" s="54">
        <v>1</v>
      </c>
      <c r="AN43" s="3">
        <v>0</v>
      </c>
      <c r="AO43" s="54">
        <v>0</v>
      </c>
      <c r="AP43" s="54">
        <v>0</v>
      </c>
      <c r="AQ43" s="54">
        <v>0</v>
      </c>
      <c r="AR43" s="3" t="s">
        <v>270</v>
      </c>
      <c r="AS43" s="3">
        <v>0</v>
      </c>
      <c r="AT43" s="54">
        <v>0</v>
      </c>
      <c r="AU43" s="54">
        <v>0</v>
      </c>
      <c r="AV43" s="54">
        <v>0</v>
      </c>
      <c r="AW43" s="3" t="s">
        <v>270</v>
      </c>
      <c r="AX43" s="54">
        <v>0</v>
      </c>
      <c r="BA43" s="54">
        <v>0</v>
      </c>
      <c r="BB43" s="54">
        <v>0</v>
      </c>
      <c r="BC43" s="3">
        <v>0</v>
      </c>
      <c r="BD43" s="3">
        <v>0</v>
      </c>
      <c r="BE43" s="54">
        <v>1</v>
      </c>
      <c r="BF43" s="54">
        <v>0</v>
      </c>
      <c r="BG43" s="54">
        <v>1</v>
      </c>
      <c r="BH43" s="54">
        <v>0</v>
      </c>
      <c r="BI43" s="3">
        <v>-1</v>
      </c>
    </row>
    <row r="44" spans="1:61" ht="18" x14ac:dyDescent="0.35">
      <c r="A44" s="53" t="s">
        <v>239</v>
      </c>
      <c r="B44" s="59" t="s">
        <v>262</v>
      </c>
      <c r="C44" s="19" t="s">
        <v>234</v>
      </c>
      <c r="D44" s="59" t="s">
        <v>263</v>
      </c>
      <c r="E44" s="60" t="s">
        <v>512</v>
      </c>
      <c r="F44" s="59" t="s">
        <v>513</v>
      </c>
      <c r="G44" s="54">
        <v>1</v>
      </c>
      <c r="H44" s="3">
        <v>25</v>
      </c>
      <c r="I44" s="3">
        <v>106</v>
      </c>
      <c r="J44" s="55">
        <v>44709.291655092602</v>
      </c>
      <c r="K44" s="55"/>
      <c r="L44" s="55"/>
      <c r="M44" s="55" t="s">
        <v>90</v>
      </c>
      <c r="N44" s="61" t="s">
        <v>69</v>
      </c>
      <c r="O44" s="61">
        <v>4970</v>
      </c>
      <c r="P44" s="54">
        <v>0</v>
      </c>
      <c r="Q44" s="3">
        <v>64302</v>
      </c>
      <c r="R44" s="57">
        <v>44706.694374999999</v>
      </c>
      <c r="S44" s="57">
        <v>44706.695208333302</v>
      </c>
      <c r="T44" s="58" t="s">
        <v>514</v>
      </c>
      <c r="U44" s="58" t="s">
        <v>515</v>
      </c>
      <c r="V44" s="67">
        <v>77280</v>
      </c>
      <c r="W44" s="54">
        <v>0</v>
      </c>
      <c r="X44" s="3">
        <v>255</v>
      </c>
      <c r="Y44" s="54">
        <v>0</v>
      </c>
      <c r="Z44" s="54">
        <v>0</v>
      </c>
      <c r="AA44" s="54">
        <v>0</v>
      </c>
      <c r="AB44" s="54">
        <v>0</v>
      </c>
      <c r="AC44" s="54">
        <v>0</v>
      </c>
      <c r="AD44" s="3">
        <v>0</v>
      </c>
      <c r="AE44" s="57"/>
      <c r="AF44" s="54">
        <v>0</v>
      </c>
      <c r="AG44" s="3">
        <v>0</v>
      </c>
      <c r="AH44" s="3">
        <v>12</v>
      </c>
      <c r="AI44" s="54">
        <v>0</v>
      </c>
      <c r="AL44" s="54">
        <v>1</v>
      </c>
      <c r="AM44" s="54">
        <v>1</v>
      </c>
      <c r="AN44" s="3">
        <v>0</v>
      </c>
      <c r="AO44" s="54">
        <v>0</v>
      </c>
      <c r="AP44" s="54">
        <v>0</v>
      </c>
      <c r="AQ44" s="54">
        <v>0</v>
      </c>
      <c r="AR44" s="3" t="s">
        <v>270</v>
      </c>
      <c r="AS44" s="3">
        <v>0</v>
      </c>
      <c r="AT44" s="54">
        <v>0</v>
      </c>
      <c r="AU44" s="54">
        <v>0</v>
      </c>
      <c r="AV44" s="54">
        <v>0</v>
      </c>
      <c r="AW44" s="3" t="s">
        <v>270</v>
      </c>
      <c r="AX44" s="54">
        <v>0</v>
      </c>
      <c r="BA44" s="54">
        <v>0</v>
      </c>
      <c r="BB44" s="54">
        <v>0</v>
      </c>
      <c r="BC44" s="3">
        <v>0</v>
      </c>
      <c r="BD44" s="3">
        <v>0</v>
      </c>
      <c r="BE44" s="54">
        <v>1</v>
      </c>
      <c r="BF44" s="54">
        <v>0</v>
      </c>
      <c r="BG44" s="54">
        <v>1</v>
      </c>
      <c r="BH44" s="54">
        <v>0</v>
      </c>
      <c r="BI44" s="3">
        <v>-1</v>
      </c>
    </row>
    <row r="45" spans="1:61" ht="18" x14ac:dyDescent="0.35">
      <c r="A45" s="53" t="s">
        <v>239</v>
      </c>
      <c r="B45" s="59" t="s">
        <v>262</v>
      </c>
      <c r="C45" s="19" t="s">
        <v>234</v>
      </c>
      <c r="D45" s="59" t="s">
        <v>263</v>
      </c>
      <c r="E45" s="60" t="s">
        <v>525</v>
      </c>
      <c r="F45" s="59" t="s">
        <v>526</v>
      </c>
      <c r="G45" s="54">
        <v>1</v>
      </c>
      <c r="H45" s="3">
        <v>0</v>
      </c>
      <c r="I45" s="3">
        <v>55</v>
      </c>
      <c r="J45" s="55"/>
      <c r="K45" s="55"/>
      <c r="L45" s="55"/>
      <c r="M45" s="69" t="str">
        <f>{"online_url","media_recording","online_upload"}</f>
        <v>online_url</v>
      </c>
      <c r="N45" s="61" t="s">
        <v>69</v>
      </c>
      <c r="O45" s="61">
        <v>0</v>
      </c>
      <c r="P45" s="54">
        <v>0</v>
      </c>
      <c r="Q45" s="3">
        <v>64302</v>
      </c>
      <c r="R45" s="57">
        <v>44721.684849537</v>
      </c>
      <c r="S45" s="57">
        <v>44721.685856481497</v>
      </c>
      <c r="T45" s="58" t="s">
        <v>527</v>
      </c>
      <c r="U45" s="58" t="s">
        <v>528</v>
      </c>
      <c r="V45" s="67">
        <v>77280</v>
      </c>
      <c r="W45" s="54">
        <v>0</v>
      </c>
      <c r="X45" s="3">
        <v>255</v>
      </c>
      <c r="Y45" s="54">
        <v>0</v>
      </c>
      <c r="Z45" s="54">
        <v>0</v>
      </c>
      <c r="AA45" s="54">
        <v>0</v>
      </c>
      <c r="AB45" s="54">
        <v>0</v>
      </c>
      <c r="AC45" s="54">
        <v>0</v>
      </c>
      <c r="AD45" s="3">
        <v>0</v>
      </c>
      <c r="AE45" s="57"/>
      <c r="AF45" s="54">
        <v>0</v>
      </c>
      <c r="AG45" s="3">
        <v>3</v>
      </c>
      <c r="AH45" s="3">
        <v>13</v>
      </c>
      <c r="AI45" s="54">
        <v>0</v>
      </c>
      <c r="AL45" s="54">
        <v>1</v>
      </c>
      <c r="AM45" s="54">
        <v>1</v>
      </c>
      <c r="AN45" s="3">
        <v>0</v>
      </c>
      <c r="AO45" s="54">
        <v>0</v>
      </c>
      <c r="AP45" s="54">
        <v>0</v>
      </c>
      <c r="AQ45" s="54">
        <v>0</v>
      </c>
      <c r="AR45" s="3" t="s">
        <v>270</v>
      </c>
      <c r="AS45" s="3">
        <v>0</v>
      </c>
      <c r="AT45" s="54">
        <v>0</v>
      </c>
      <c r="AU45" s="54">
        <v>0</v>
      </c>
      <c r="AV45" s="54">
        <v>0</v>
      </c>
      <c r="AW45" s="3" t="s">
        <v>270</v>
      </c>
      <c r="AX45" s="54">
        <v>0</v>
      </c>
      <c r="BA45" s="54">
        <v>0</v>
      </c>
      <c r="BB45" s="54">
        <v>0</v>
      </c>
      <c r="BC45" s="3">
        <v>0</v>
      </c>
      <c r="BD45" s="3">
        <v>0</v>
      </c>
      <c r="BE45" s="54">
        <v>1</v>
      </c>
      <c r="BF45" s="54">
        <v>0</v>
      </c>
      <c r="BG45" s="54">
        <v>1</v>
      </c>
      <c r="BH45" s="54">
        <v>0</v>
      </c>
      <c r="BI45" s="3">
        <v>-1</v>
      </c>
    </row>
    <row r="46" spans="1:61" ht="18" x14ac:dyDescent="0.35">
      <c r="A46" s="53" t="s">
        <v>239</v>
      </c>
      <c r="B46" s="59" t="s">
        <v>262</v>
      </c>
      <c r="C46" s="19" t="s">
        <v>234</v>
      </c>
      <c r="D46" s="59" t="s">
        <v>263</v>
      </c>
      <c r="E46" s="60" t="s">
        <v>369</v>
      </c>
      <c r="F46" s="59" t="s">
        <v>279</v>
      </c>
      <c r="G46" s="54">
        <v>1</v>
      </c>
      <c r="H46" s="3">
        <v>10</v>
      </c>
      <c r="I46" s="3">
        <v>0</v>
      </c>
      <c r="J46" s="55">
        <v>44660.291655092602</v>
      </c>
      <c r="K46" s="55"/>
      <c r="L46" s="55"/>
      <c r="M46" s="55" t="s">
        <v>73</v>
      </c>
      <c r="N46" s="61" t="s">
        <v>69</v>
      </c>
      <c r="O46" s="61">
        <v>0</v>
      </c>
      <c r="P46" s="54">
        <v>0</v>
      </c>
      <c r="Q46" s="3">
        <v>64302</v>
      </c>
      <c r="R46" s="57">
        <v>44636.663229166697</v>
      </c>
      <c r="S46" s="57">
        <v>44716.985740740703</v>
      </c>
      <c r="T46" s="58" t="s">
        <v>370</v>
      </c>
      <c r="U46" s="58" t="s">
        <v>371</v>
      </c>
      <c r="V46" s="67">
        <v>93711</v>
      </c>
      <c r="W46" s="54">
        <v>0</v>
      </c>
      <c r="X46" s="3">
        <v>255</v>
      </c>
      <c r="Y46" s="54">
        <v>0</v>
      </c>
      <c r="Z46" s="54">
        <v>0</v>
      </c>
      <c r="AA46" s="54">
        <v>0</v>
      </c>
      <c r="AB46" s="54">
        <v>0</v>
      </c>
      <c r="AC46" s="54">
        <v>0</v>
      </c>
      <c r="AD46" s="3">
        <v>0</v>
      </c>
      <c r="AE46" s="57"/>
      <c r="AF46" s="54">
        <v>0</v>
      </c>
      <c r="AG46" s="3">
        <v>0</v>
      </c>
      <c r="AH46" s="3">
        <v>2</v>
      </c>
      <c r="AI46" s="54">
        <v>0</v>
      </c>
      <c r="AL46" s="54">
        <v>1</v>
      </c>
      <c r="AM46" s="54">
        <v>1</v>
      </c>
      <c r="AN46" s="3">
        <v>0</v>
      </c>
      <c r="AO46" s="54">
        <v>0</v>
      </c>
      <c r="AP46" s="54">
        <v>0</v>
      </c>
      <c r="AQ46" s="54">
        <v>0</v>
      </c>
      <c r="AR46" s="3" t="s">
        <v>270</v>
      </c>
      <c r="AS46" s="3">
        <v>0</v>
      </c>
      <c r="AT46" s="54">
        <v>0</v>
      </c>
      <c r="AU46" s="54">
        <v>0</v>
      </c>
      <c r="AV46" s="54">
        <v>0</v>
      </c>
      <c r="AW46" s="3" t="s">
        <v>270</v>
      </c>
      <c r="AX46" s="54">
        <v>0</v>
      </c>
      <c r="BA46" s="54">
        <v>0</v>
      </c>
      <c r="BB46" s="54">
        <v>0</v>
      </c>
      <c r="BC46" s="3">
        <v>0</v>
      </c>
      <c r="BD46" s="3">
        <v>0</v>
      </c>
      <c r="BE46" s="54">
        <v>1</v>
      </c>
      <c r="BF46" s="54">
        <v>0</v>
      </c>
      <c r="BG46" s="54">
        <v>1</v>
      </c>
      <c r="BH46" s="54">
        <v>0</v>
      </c>
      <c r="BI46" s="3">
        <v>-1</v>
      </c>
    </row>
    <row r="47" spans="1:61" ht="18" x14ac:dyDescent="0.35">
      <c r="A47" s="53" t="s">
        <v>239</v>
      </c>
      <c r="B47" s="59" t="s">
        <v>262</v>
      </c>
      <c r="C47" s="19" t="s">
        <v>234</v>
      </c>
      <c r="D47" s="59" t="s">
        <v>263</v>
      </c>
      <c r="E47" s="60" t="s">
        <v>372</v>
      </c>
      <c r="F47" s="59" t="s">
        <v>283</v>
      </c>
      <c r="G47" s="54">
        <v>1</v>
      </c>
      <c r="H47" s="3">
        <v>10</v>
      </c>
      <c r="I47" s="3">
        <v>0</v>
      </c>
      <c r="J47" s="55">
        <v>44664.291655092602</v>
      </c>
      <c r="K47" s="55"/>
      <c r="L47" s="55"/>
      <c r="M47" s="55" t="s">
        <v>73</v>
      </c>
      <c r="N47" s="61" t="s">
        <v>69</v>
      </c>
      <c r="O47" s="61">
        <v>0</v>
      </c>
      <c r="P47" s="54">
        <v>0</v>
      </c>
      <c r="Q47" s="3">
        <v>64302</v>
      </c>
      <c r="R47" s="57">
        <v>44636.663240740701</v>
      </c>
      <c r="S47" s="57">
        <v>44716.985752314802</v>
      </c>
      <c r="T47" s="58" t="s">
        <v>373</v>
      </c>
      <c r="U47" s="58" t="s">
        <v>374</v>
      </c>
      <c r="V47" s="67">
        <v>93711</v>
      </c>
      <c r="W47" s="54">
        <v>0</v>
      </c>
      <c r="X47" s="3">
        <v>255</v>
      </c>
      <c r="Y47" s="54">
        <v>0</v>
      </c>
      <c r="Z47" s="54">
        <v>0</v>
      </c>
      <c r="AA47" s="54">
        <v>0</v>
      </c>
      <c r="AB47" s="54">
        <v>0</v>
      </c>
      <c r="AC47" s="54">
        <v>0</v>
      </c>
      <c r="AD47" s="3">
        <v>0</v>
      </c>
      <c r="AE47" s="57"/>
      <c r="AF47" s="54">
        <v>0</v>
      </c>
      <c r="AG47" s="3">
        <v>0</v>
      </c>
      <c r="AH47" s="3">
        <v>3</v>
      </c>
      <c r="AI47" s="54">
        <v>0</v>
      </c>
      <c r="AL47" s="54">
        <v>1</v>
      </c>
      <c r="AM47" s="54">
        <v>1</v>
      </c>
      <c r="AN47" s="3">
        <v>0</v>
      </c>
      <c r="AO47" s="54">
        <v>0</v>
      </c>
      <c r="AP47" s="54">
        <v>0</v>
      </c>
      <c r="AQ47" s="54">
        <v>0</v>
      </c>
      <c r="AR47" s="3" t="s">
        <v>270</v>
      </c>
      <c r="AS47" s="3">
        <v>0</v>
      </c>
      <c r="AT47" s="54">
        <v>0</v>
      </c>
      <c r="AU47" s="54">
        <v>0</v>
      </c>
      <c r="AV47" s="54">
        <v>0</v>
      </c>
      <c r="AW47" s="3" t="s">
        <v>270</v>
      </c>
      <c r="AX47" s="54">
        <v>0</v>
      </c>
      <c r="BA47" s="54">
        <v>0</v>
      </c>
      <c r="BB47" s="54">
        <v>0</v>
      </c>
      <c r="BC47" s="3">
        <v>0</v>
      </c>
      <c r="BD47" s="3">
        <v>0</v>
      </c>
      <c r="BE47" s="54">
        <v>1</v>
      </c>
      <c r="BF47" s="54">
        <v>0</v>
      </c>
      <c r="BG47" s="54">
        <v>1</v>
      </c>
      <c r="BH47" s="54">
        <v>0</v>
      </c>
      <c r="BI47" s="3">
        <v>-1</v>
      </c>
    </row>
    <row r="48" spans="1:61" ht="18" x14ac:dyDescent="0.35">
      <c r="A48" s="53" t="s">
        <v>239</v>
      </c>
      <c r="B48" s="59" t="s">
        <v>262</v>
      </c>
      <c r="C48" s="19" t="s">
        <v>234</v>
      </c>
      <c r="D48" s="59" t="s">
        <v>263</v>
      </c>
      <c r="E48" s="60" t="s">
        <v>375</v>
      </c>
      <c r="F48" s="59" t="s">
        <v>287</v>
      </c>
      <c r="G48" s="54">
        <v>1</v>
      </c>
      <c r="H48" s="3">
        <v>10</v>
      </c>
      <c r="I48" s="3">
        <v>0</v>
      </c>
      <c r="J48" s="55">
        <v>44670.291655092602</v>
      </c>
      <c r="K48" s="55"/>
      <c r="L48" s="55"/>
      <c r="M48" s="55" t="s">
        <v>73</v>
      </c>
      <c r="N48" s="61" t="s">
        <v>69</v>
      </c>
      <c r="O48" s="61">
        <v>0</v>
      </c>
      <c r="P48" s="54">
        <v>0</v>
      </c>
      <c r="Q48" s="3">
        <v>64302</v>
      </c>
      <c r="R48" s="57">
        <v>44636.663240740701</v>
      </c>
      <c r="S48" s="57">
        <v>44716.985763888901</v>
      </c>
      <c r="T48" s="58" t="s">
        <v>376</v>
      </c>
      <c r="U48" s="58" t="s">
        <v>377</v>
      </c>
      <c r="V48" s="67">
        <v>93711</v>
      </c>
      <c r="W48" s="54">
        <v>0</v>
      </c>
      <c r="X48" s="3">
        <v>255</v>
      </c>
      <c r="Y48" s="54">
        <v>0</v>
      </c>
      <c r="Z48" s="54">
        <v>0</v>
      </c>
      <c r="AA48" s="54">
        <v>0</v>
      </c>
      <c r="AB48" s="54">
        <v>0</v>
      </c>
      <c r="AC48" s="54">
        <v>0</v>
      </c>
      <c r="AD48" s="3">
        <v>0</v>
      </c>
      <c r="AE48" s="57"/>
      <c r="AF48" s="54">
        <v>0</v>
      </c>
      <c r="AG48" s="3">
        <v>1</v>
      </c>
      <c r="AH48" s="3">
        <v>4</v>
      </c>
      <c r="AI48" s="54">
        <v>0</v>
      </c>
      <c r="AL48" s="54">
        <v>1</v>
      </c>
      <c r="AM48" s="54">
        <v>1</v>
      </c>
      <c r="AN48" s="3">
        <v>0</v>
      </c>
      <c r="AO48" s="54">
        <v>0</v>
      </c>
      <c r="AP48" s="54">
        <v>0</v>
      </c>
      <c r="AQ48" s="54">
        <v>0</v>
      </c>
      <c r="AR48" s="3" t="s">
        <v>270</v>
      </c>
      <c r="AS48" s="3">
        <v>0</v>
      </c>
      <c r="AT48" s="54">
        <v>0</v>
      </c>
      <c r="AU48" s="54">
        <v>0</v>
      </c>
      <c r="AV48" s="54">
        <v>0</v>
      </c>
      <c r="AW48" s="3" t="s">
        <v>270</v>
      </c>
      <c r="AX48" s="54">
        <v>0</v>
      </c>
      <c r="BA48" s="54">
        <v>0</v>
      </c>
      <c r="BB48" s="54">
        <v>0</v>
      </c>
      <c r="BC48" s="3">
        <v>0</v>
      </c>
      <c r="BD48" s="3">
        <v>0</v>
      </c>
      <c r="BE48" s="54">
        <v>1</v>
      </c>
      <c r="BF48" s="54">
        <v>0</v>
      </c>
      <c r="BG48" s="54">
        <v>1</v>
      </c>
      <c r="BH48" s="54">
        <v>0</v>
      </c>
      <c r="BI48" s="3">
        <v>-1</v>
      </c>
    </row>
    <row r="49" spans="1:61" ht="18" x14ac:dyDescent="0.35">
      <c r="A49" s="53" t="s">
        <v>239</v>
      </c>
      <c r="B49" s="59" t="s">
        <v>262</v>
      </c>
      <c r="C49" s="19" t="s">
        <v>234</v>
      </c>
      <c r="D49" s="59" t="s">
        <v>263</v>
      </c>
      <c r="E49" s="60" t="s">
        <v>378</v>
      </c>
      <c r="F49" s="59" t="s">
        <v>291</v>
      </c>
      <c r="G49" s="54">
        <v>1</v>
      </c>
      <c r="H49" s="3">
        <v>12</v>
      </c>
      <c r="I49" s="3">
        <v>339</v>
      </c>
      <c r="J49" s="55">
        <v>44674.291655092602</v>
      </c>
      <c r="K49" s="55"/>
      <c r="L49" s="55"/>
      <c r="M49" s="55" t="s">
        <v>77</v>
      </c>
      <c r="N49" s="61" t="s">
        <v>69</v>
      </c>
      <c r="O49" s="61">
        <v>0</v>
      </c>
      <c r="P49" s="54">
        <v>0</v>
      </c>
      <c r="Q49" s="3">
        <v>64302</v>
      </c>
      <c r="R49" s="57">
        <v>44636.663217592599</v>
      </c>
      <c r="S49" s="57">
        <v>44716.985775462999</v>
      </c>
      <c r="T49" s="58" t="s">
        <v>379</v>
      </c>
      <c r="U49" s="58" t="s">
        <v>380</v>
      </c>
      <c r="V49" s="67">
        <v>93711</v>
      </c>
      <c r="W49" s="54">
        <v>0</v>
      </c>
      <c r="X49" s="3">
        <v>255</v>
      </c>
      <c r="Y49" s="54">
        <v>0</v>
      </c>
      <c r="Z49" s="54">
        <v>0</v>
      </c>
      <c r="AA49" s="54">
        <v>0</v>
      </c>
      <c r="AB49" s="54">
        <v>0</v>
      </c>
      <c r="AC49" s="54">
        <v>0</v>
      </c>
      <c r="AD49" s="3">
        <v>0</v>
      </c>
      <c r="AE49" s="57"/>
      <c r="AF49" s="54">
        <v>0</v>
      </c>
      <c r="AG49" s="3">
        <v>0</v>
      </c>
      <c r="AH49" s="3">
        <v>5</v>
      </c>
      <c r="AI49" s="54">
        <v>0</v>
      </c>
      <c r="AL49" s="54">
        <v>1</v>
      </c>
      <c r="AM49" s="54">
        <v>1</v>
      </c>
      <c r="AN49" s="3">
        <v>0</v>
      </c>
      <c r="AO49" s="54">
        <v>0</v>
      </c>
      <c r="AP49" s="54">
        <v>0</v>
      </c>
      <c r="AQ49" s="54">
        <v>0</v>
      </c>
      <c r="AR49" s="3" t="s">
        <v>270</v>
      </c>
      <c r="AS49" s="3">
        <v>96176</v>
      </c>
      <c r="AT49" s="54">
        <v>0</v>
      </c>
      <c r="AU49" s="54">
        <v>0</v>
      </c>
      <c r="AV49" s="54">
        <v>0</v>
      </c>
      <c r="AW49" s="3" t="s">
        <v>270</v>
      </c>
      <c r="AX49" s="54">
        <v>0</v>
      </c>
      <c r="BA49" s="54">
        <v>0</v>
      </c>
      <c r="BB49" s="54">
        <v>0</v>
      </c>
      <c r="BC49" s="3">
        <v>0</v>
      </c>
      <c r="BD49" s="3">
        <v>0</v>
      </c>
      <c r="BE49" s="54">
        <v>1</v>
      </c>
      <c r="BF49" s="54">
        <v>0</v>
      </c>
      <c r="BG49" s="54">
        <v>1</v>
      </c>
      <c r="BH49" s="54">
        <v>0</v>
      </c>
      <c r="BI49" s="3">
        <v>-1</v>
      </c>
    </row>
    <row r="50" spans="1:61" ht="18" x14ac:dyDescent="0.35">
      <c r="A50" s="53" t="s">
        <v>239</v>
      </c>
      <c r="B50" s="59" t="s">
        <v>262</v>
      </c>
      <c r="C50" s="19" t="s">
        <v>234</v>
      </c>
      <c r="D50" s="59" t="s">
        <v>263</v>
      </c>
      <c r="E50" s="60" t="s">
        <v>381</v>
      </c>
      <c r="F50" s="59" t="s">
        <v>295</v>
      </c>
      <c r="G50" s="54">
        <v>1</v>
      </c>
      <c r="H50" s="3">
        <v>14</v>
      </c>
      <c r="I50" s="3">
        <v>0</v>
      </c>
      <c r="J50" s="55">
        <v>44681.291655092602</v>
      </c>
      <c r="K50" s="55"/>
      <c r="L50" s="55"/>
      <c r="M50" s="55" t="s">
        <v>73</v>
      </c>
      <c r="N50" s="61" t="s">
        <v>69</v>
      </c>
      <c r="O50" s="61">
        <v>0</v>
      </c>
      <c r="P50" s="54">
        <v>0</v>
      </c>
      <c r="Q50" s="3">
        <v>64302</v>
      </c>
      <c r="R50" s="57">
        <v>44651.677025463003</v>
      </c>
      <c r="S50" s="57">
        <v>44716.985717592601</v>
      </c>
      <c r="T50" s="58" t="s">
        <v>382</v>
      </c>
      <c r="U50" s="58" t="s">
        <v>383</v>
      </c>
      <c r="V50" s="67">
        <v>93711</v>
      </c>
      <c r="W50" s="54">
        <v>0</v>
      </c>
      <c r="X50" s="3">
        <v>255</v>
      </c>
      <c r="Y50" s="54">
        <v>0</v>
      </c>
      <c r="Z50" s="54">
        <v>0</v>
      </c>
      <c r="AA50" s="54">
        <v>0</v>
      </c>
      <c r="AB50" s="54">
        <v>0</v>
      </c>
      <c r="AC50" s="54">
        <v>0</v>
      </c>
      <c r="AD50" s="3">
        <v>0</v>
      </c>
      <c r="AE50" s="57"/>
      <c r="AF50" s="54">
        <v>0</v>
      </c>
      <c r="AG50" s="3">
        <v>1</v>
      </c>
      <c r="AH50" s="3">
        <v>6</v>
      </c>
      <c r="AI50" s="54">
        <v>0</v>
      </c>
      <c r="AL50" s="54">
        <v>1</v>
      </c>
      <c r="AM50" s="54">
        <v>1</v>
      </c>
      <c r="AN50" s="3">
        <v>0</v>
      </c>
      <c r="AO50" s="54">
        <v>0</v>
      </c>
      <c r="AP50" s="54">
        <v>0</v>
      </c>
      <c r="AQ50" s="54">
        <v>0</v>
      </c>
      <c r="AR50" s="3" t="s">
        <v>270</v>
      </c>
      <c r="AS50" s="3">
        <v>0</v>
      </c>
      <c r="AT50" s="54">
        <v>0</v>
      </c>
      <c r="AU50" s="54">
        <v>0</v>
      </c>
      <c r="AV50" s="54">
        <v>0</v>
      </c>
      <c r="AW50" s="3" t="s">
        <v>270</v>
      </c>
      <c r="AX50" s="54">
        <v>0</v>
      </c>
      <c r="BA50" s="54">
        <v>0</v>
      </c>
      <c r="BB50" s="54">
        <v>0</v>
      </c>
      <c r="BC50" s="3">
        <v>0</v>
      </c>
      <c r="BD50" s="3">
        <v>0</v>
      </c>
      <c r="BE50" s="54">
        <v>1</v>
      </c>
      <c r="BF50" s="54">
        <v>0</v>
      </c>
      <c r="BG50" s="54">
        <v>1</v>
      </c>
      <c r="BH50" s="54">
        <v>0</v>
      </c>
      <c r="BI50" s="3">
        <v>-1</v>
      </c>
    </row>
    <row r="51" spans="1:61" ht="18" x14ac:dyDescent="0.35">
      <c r="A51" s="53" t="s">
        <v>239</v>
      </c>
      <c r="B51" s="59" t="s">
        <v>262</v>
      </c>
      <c r="C51" s="19" t="s">
        <v>234</v>
      </c>
      <c r="D51" s="59" t="s">
        <v>263</v>
      </c>
      <c r="E51" s="60" t="s">
        <v>384</v>
      </c>
      <c r="F51" s="59" t="s">
        <v>299</v>
      </c>
      <c r="G51" s="54">
        <v>1</v>
      </c>
      <c r="H51" s="3">
        <v>10</v>
      </c>
      <c r="I51" s="3">
        <v>0</v>
      </c>
      <c r="J51" s="55">
        <v>44686.291655092602</v>
      </c>
      <c r="K51" s="55"/>
      <c r="L51" s="55"/>
      <c r="M51" s="55" t="s">
        <v>73</v>
      </c>
      <c r="N51" s="61" t="s">
        <v>69</v>
      </c>
      <c r="O51" s="61">
        <v>0</v>
      </c>
      <c r="P51" s="54">
        <v>0</v>
      </c>
      <c r="Q51" s="3">
        <v>64302</v>
      </c>
      <c r="R51" s="57">
        <v>44651.677037037</v>
      </c>
      <c r="S51" s="57">
        <v>44690.697893518503</v>
      </c>
      <c r="T51" s="58" t="s">
        <v>385</v>
      </c>
      <c r="U51" s="58" t="s">
        <v>386</v>
      </c>
      <c r="V51" s="67">
        <v>93711</v>
      </c>
      <c r="W51" s="54">
        <v>0</v>
      </c>
      <c r="X51" s="3">
        <v>255</v>
      </c>
      <c r="Y51" s="54">
        <v>0</v>
      </c>
      <c r="Z51" s="54">
        <v>0</v>
      </c>
      <c r="AA51" s="54">
        <v>0</v>
      </c>
      <c r="AB51" s="54">
        <v>0</v>
      </c>
      <c r="AC51" s="54">
        <v>0</v>
      </c>
      <c r="AD51" s="3">
        <v>0</v>
      </c>
      <c r="AE51" s="57"/>
      <c r="AF51" s="54">
        <v>0</v>
      </c>
      <c r="AG51" s="3">
        <v>0</v>
      </c>
      <c r="AH51" s="3">
        <v>7</v>
      </c>
      <c r="AI51" s="54">
        <v>0</v>
      </c>
      <c r="AL51" s="54">
        <v>1</v>
      </c>
      <c r="AM51" s="54">
        <v>1</v>
      </c>
      <c r="AN51" s="3">
        <v>0</v>
      </c>
      <c r="AO51" s="54">
        <v>0</v>
      </c>
      <c r="AP51" s="54">
        <v>0</v>
      </c>
      <c r="AQ51" s="54">
        <v>0</v>
      </c>
      <c r="AR51" s="3" t="s">
        <v>270</v>
      </c>
      <c r="AS51" s="3">
        <v>0</v>
      </c>
      <c r="AT51" s="54">
        <v>0</v>
      </c>
      <c r="AU51" s="54">
        <v>0</v>
      </c>
      <c r="AV51" s="54">
        <v>0</v>
      </c>
      <c r="AW51" s="3" t="s">
        <v>270</v>
      </c>
      <c r="AX51" s="54">
        <v>0</v>
      </c>
      <c r="BA51" s="54">
        <v>0</v>
      </c>
      <c r="BB51" s="54">
        <v>0</v>
      </c>
      <c r="BC51" s="3">
        <v>0</v>
      </c>
      <c r="BD51" s="3">
        <v>0</v>
      </c>
      <c r="BE51" s="54">
        <v>1</v>
      </c>
      <c r="BF51" s="54">
        <v>0</v>
      </c>
      <c r="BG51" s="54">
        <v>1</v>
      </c>
      <c r="BH51" s="54">
        <v>0</v>
      </c>
      <c r="BI51" s="3">
        <v>-1</v>
      </c>
    </row>
    <row r="52" spans="1:61" ht="18" x14ac:dyDescent="0.35">
      <c r="A52" s="53" t="s">
        <v>239</v>
      </c>
      <c r="B52" s="59" t="s">
        <v>262</v>
      </c>
      <c r="C52" s="19" t="s">
        <v>234</v>
      </c>
      <c r="D52" s="59" t="s">
        <v>263</v>
      </c>
      <c r="E52" s="60" t="s">
        <v>387</v>
      </c>
      <c r="F52" s="59" t="s">
        <v>303</v>
      </c>
      <c r="G52" s="54">
        <v>1</v>
      </c>
      <c r="H52" s="3">
        <v>10</v>
      </c>
      <c r="I52" s="3">
        <v>0</v>
      </c>
      <c r="J52" s="55">
        <v>44688.291655092602</v>
      </c>
      <c r="K52" s="55"/>
      <c r="L52" s="55"/>
      <c r="M52" s="55" t="s">
        <v>73</v>
      </c>
      <c r="N52" s="61" t="s">
        <v>69</v>
      </c>
      <c r="O52" s="61">
        <v>0</v>
      </c>
      <c r="P52" s="54">
        <v>0</v>
      </c>
      <c r="Q52" s="3">
        <v>64302</v>
      </c>
      <c r="R52" s="57">
        <v>44651.677037037</v>
      </c>
      <c r="S52" s="57">
        <v>44716.985717592601</v>
      </c>
      <c r="T52" s="58" t="s">
        <v>388</v>
      </c>
      <c r="U52" s="58" t="s">
        <v>389</v>
      </c>
      <c r="V52" s="67">
        <v>93711</v>
      </c>
      <c r="W52" s="54">
        <v>0</v>
      </c>
      <c r="X52" s="3">
        <v>255</v>
      </c>
      <c r="Y52" s="54">
        <v>0</v>
      </c>
      <c r="Z52" s="54">
        <v>0</v>
      </c>
      <c r="AA52" s="54">
        <v>0</v>
      </c>
      <c r="AB52" s="54">
        <v>0</v>
      </c>
      <c r="AC52" s="54">
        <v>0</v>
      </c>
      <c r="AD52" s="3">
        <v>0</v>
      </c>
      <c r="AE52" s="57"/>
      <c r="AF52" s="54">
        <v>0</v>
      </c>
      <c r="AG52" s="3">
        <v>0</v>
      </c>
      <c r="AH52" s="3">
        <v>8</v>
      </c>
      <c r="AI52" s="54">
        <v>0</v>
      </c>
      <c r="AL52" s="54">
        <v>1</v>
      </c>
      <c r="AM52" s="54">
        <v>1</v>
      </c>
      <c r="AN52" s="3">
        <v>0</v>
      </c>
      <c r="AO52" s="54">
        <v>0</v>
      </c>
      <c r="AP52" s="54">
        <v>0</v>
      </c>
      <c r="AQ52" s="54">
        <v>0</v>
      </c>
      <c r="AR52" s="3" t="s">
        <v>270</v>
      </c>
      <c r="AS52" s="3">
        <v>0</v>
      </c>
      <c r="AT52" s="54">
        <v>0</v>
      </c>
      <c r="AU52" s="54">
        <v>0</v>
      </c>
      <c r="AV52" s="54">
        <v>0</v>
      </c>
      <c r="AW52" s="3" t="s">
        <v>270</v>
      </c>
      <c r="AX52" s="54">
        <v>0</v>
      </c>
      <c r="BA52" s="54">
        <v>0</v>
      </c>
      <c r="BB52" s="54">
        <v>0</v>
      </c>
      <c r="BC52" s="3">
        <v>0</v>
      </c>
      <c r="BD52" s="3">
        <v>0</v>
      </c>
      <c r="BE52" s="54">
        <v>1</v>
      </c>
      <c r="BF52" s="54">
        <v>0</v>
      </c>
      <c r="BG52" s="54">
        <v>1</v>
      </c>
      <c r="BH52" s="54">
        <v>0</v>
      </c>
      <c r="BI52" s="3">
        <v>-1</v>
      </c>
    </row>
    <row r="53" spans="1:61" ht="18" x14ac:dyDescent="0.35">
      <c r="A53" s="53" t="s">
        <v>239</v>
      </c>
      <c r="B53" s="59" t="s">
        <v>262</v>
      </c>
      <c r="C53" s="19" t="s">
        <v>234</v>
      </c>
      <c r="D53" s="59" t="s">
        <v>263</v>
      </c>
      <c r="E53" s="60" t="s">
        <v>390</v>
      </c>
      <c r="F53" s="59" t="s">
        <v>307</v>
      </c>
      <c r="G53" s="54">
        <v>1</v>
      </c>
      <c r="H53" s="3">
        <v>10</v>
      </c>
      <c r="I53" s="3">
        <v>0</v>
      </c>
      <c r="J53" s="55">
        <v>44695.291655092602</v>
      </c>
      <c r="K53" s="55"/>
      <c r="L53" s="55"/>
      <c r="M53" s="55" t="s">
        <v>73</v>
      </c>
      <c r="N53" s="61" t="s">
        <v>69</v>
      </c>
      <c r="O53" s="61">
        <v>0</v>
      </c>
      <c r="P53" s="54">
        <v>0</v>
      </c>
      <c r="Q53" s="3">
        <v>64302</v>
      </c>
      <c r="R53" s="57">
        <v>44651.677048611098</v>
      </c>
      <c r="S53" s="57">
        <v>44716.985729166699</v>
      </c>
      <c r="T53" s="58" t="s">
        <v>391</v>
      </c>
      <c r="U53" s="58" t="s">
        <v>392</v>
      </c>
      <c r="V53" s="67">
        <v>93711</v>
      </c>
      <c r="W53" s="54">
        <v>0</v>
      </c>
      <c r="X53" s="3">
        <v>255</v>
      </c>
      <c r="Y53" s="54">
        <v>0</v>
      </c>
      <c r="Z53" s="54">
        <v>0</v>
      </c>
      <c r="AA53" s="54">
        <v>0</v>
      </c>
      <c r="AB53" s="54">
        <v>0</v>
      </c>
      <c r="AC53" s="54">
        <v>0</v>
      </c>
      <c r="AD53" s="3">
        <v>0</v>
      </c>
      <c r="AE53" s="57"/>
      <c r="AF53" s="54">
        <v>0</v>
      </c>
      <c r="AG53" s="3">
        <v>0</v>
      </c>
      <c r="AH53" s="3">
        <v>9</v>
      </c>
      <c r="AI53" s="54">
        <v>0</v>
      </c>
      <c r="AL53" s="54">
        <v>1</v>
      </c>
      <c r="AM53" s="54">
        <v>1</v>
      </c>
      <c r="AN53" s="3">
        <v>0</v>
      </c>
      <c r="AO53" s="54">
        <v>0</v>
      </c>
      <c r="AP53" s="54">
        <v>0</v>
      </c>
      <c r="AQ53" s="54">
        <v>0</v>
      </c>
      <c r="AR53" s="3" t="s">
        <v>270</v>
      </c>
      <c r="AS53" s="3">
        <v>0</v>
      </c>
      <c r="AT53" s="54">
        <v>0</v>
      </c>
      <c r="AU53" s="54">
        <v>0</v>
      </c>
      <c r="AV53" s="54">
        <v>0</v>
      </c>
      <c r="AW53" s="3" t="s">
        <v>270</v>
      </c>
      <c r="AX53" s="54">
        <v>0</v>
      </c>
      <c r="BA53" s="54">
        <v>0</v>
      </c>
      <c r="BB53" s="54">
        <v>0</v>
      </c>
      <c r="BC53" s="3">
        <v>0</v>
      </c>
      <c r="BD53" s="3">
        <v>0</v>
      </c>
      <c r="BE53" s="54">
        <v>1</v>
      </c>
      <c r="BF53" s="54">
        <v>0</v>
      </c>
      <c r="BG53" s="54">
        <v>1</v>
      </c>
      <c r="BH53" s="54">
        <v>0</v>
      </c>
      <c r="BI53" s="3">
        <v>-1</v>
      </c>
    </row>
    <row r="54" spans="1:61" ht="18" x14ac:dyDescent="0.35">
      <c r="A54" s="53" t="s">
        <v>239</v>
      </c>
      <c r="B54" s="59" t="s">
        <v>262</v>
      </c>
      <c r="C54" s="19" t="s">
        <v>234</v>
      </c>
      <c r="D54" s="59" t="s">
        <v>263</v>
      </c>
      <c r="E54" s="60" t="s">
        <v>393</v>
      </c>
      <c r="F54" s="59" t="s">
        <v>311</v>
      </c>
      <c r="G54" s="54">
        <v>1</v>
      </c>
      <c r="H54" s="3">
        <v>10</v>
      </c>
      <c r="I54" s="3">
        <v>0</v>
      </c>
      <c r="J54" s="55">
        <v>44702.291655092602</v>
      </c>
      <c r="K54" s="55"/>
      <c r="L54" s="55"/>
      <c r="M54" s="55" t="s">
        <v>73</v>
      </c>
      <c r="N54" s="61" t="s">
        <v>69</v>
      </c>
      <c r="O54" s="61">
        <v>0</v>
      </c>
      <c r="P54" s="54">
        <v>0</v>
      </c>
      <c r="Q54" s="3">
        <v>64302</v>
      </c>
      <c r="R54" s="57">
        <v>44651.677060185197</v>
      </c>
      <c r="S54" s="57">
        <v>44716.985729166699</v>
      </c>
      <c r="T54" s="58" t="s">
        <v>394</v>
      </c>
      <c r="U54" s="58" t="s">
        <v>395</v>
      </c>
      <c r="V54" s="67">
        <v>93711</v>
      </c>
      <c r="W54" s="54">
        <v>0</v>
      </c>
      <c r="X54" s="3">
        <v>255</v>
      </c>
      <c r="Y54" s="54">
        <v>0</v>
      </c>
      <c r="Z54" s="54">
        <v>0</v>
      </c>
      <c r="AA54" s="54">
        <v>0</v>
      </c>
      <c r="AB54" s="54">
        <v>0</v>
      </c>
      <c r="AC54" s="54">
        <v>0</v>
      </c>
      <c r="AD54" s="3">
        <v>0</v>
      </c>
      <c r="AE54" s="57"/>
      <c r="AF54" s="54">
        <v>0</v>
      </c>
      <c r="AG54" s="3">
        <v>0</v>
      </c>
      <c r="AH54" s="3">
        <v>10</v>
      </c>
      <c r="AI54" s="54">
        <v>0</v>
      </c>
      <c r="AL54" s="54">
        <v>1</v>
      </c>
      <c r="AM54" s="54">
        <v>1</v>
      </c>
      <c r="AN54" s="3">
        <v>0</v>
      </c>
      <c r="AO54" s="54">
        <v>0</v>
      </c>
      <c r="AP54" s="54">
        <v>0</v>
      </c>
      <c r="AQ54" s="54">
        <v>0</v>
      </c>
      <c r="AR54" s="3" t="s">
        <v>270</v>
      </c>
      <c r="AS54" s="3">
        <v>0</v>
      </c>
      <c r="AT54" s="54">
        <v>0</v>
      </c>
      <c r="AU54" s="54">
        <v>0</v>
      </c>
      <c r="AV54" s="54">
        <v>0</v>
      </c>
      <c r="AW54" s="3" t="s">
        <v>270</v>
      </c>
      <c r="AX54" s="54">
        <v>0</v>
      </c>
      <c r="BA54" s="54">
        <v>0</v>
      </c>
      <c r="BB54" s="54">
        <v>0</v>
      </c>
      <c r="BC54" s="3">
        <v>0</v>
      </c>
      <c r="BD54" s="3">
        <v>0</v>
      </c>
      <c r="BE54" s="54">
        <v>1</v>
      </c>
      <c r="BF54" s="54">
        <v>0</v>
      </c>
      <c r="BG54" s="54">
        <v>1</v>
      </c>
      <c r="BH54" s="54">
        <v>0</v>
      </c>
      <c r="BI54" s="3">
        <v>-1</v>
      </c>
    </row>
    <row r="55" spans="1:61" ht="18" x14ac:dyDescent="0.35">
      <c r="A55" s="53" t="s">
        <v>239</v>
      </c>
      <c r="B55" s="59" t="s">
        <v>262</v>
      </c>
      <c r="C55" s="19" t="s">
        <v>234</v>
      </c>
      <c r="D55" s="59" t="s">
        <v>263</v>
      </c>
      <c r="E55" s="60" t="s">
        <v>463</v>
      </c>
      <c r="F55" s="59" t="s">
        <v>315</v>
      </c>
      <c r="G55" s="54">
        <v>1</v>
      </c>
      <c r="H55" s="3">
        <v>10</v>
      </c>
      <c r="I55" s="3">
        <v>0</v>
      </c>
      <c r="J55" s="55">
        <v>44709.291655092602</v>
      </c>
      <c r="K55" s="55"/>
      <c r="L55" s="55"/>
      <c r="M55" s="55" t="s">
        <v>73</v>
      </c>
      <c r="N55" s="61" t="s">
        <v>69</v>
      </c>
      <c r="O55" s="61">
        <v>0</v>
      </c>
      <c r="P55" s="54">
        <v>0</v>
      </c>
      <c r="Q55" s="3">
        <v>64302</v>
      </c>
      <c r="R55" s="57">
        <v>44684.655671296299</v>
      </c>
      <c r="S55" s="57">
        <v>44716.985752314802</v>
      </c>
      <c r="T55" s="58" t="s">
        <v>464</v>
      </c>
      <c r="U55" s="58" t="s">
        <v>465</v>
      </c>
      <c r="V55" s="67">
        <v>93711</v>
      </c>
      <c r="W55" s="54">
        <v>0</v>
      </c>
      <c r="X55" s="3">
        <v>255</v>
      </c>
      <c r="Y55" s="54">
        <v>0</v>
      </c>
      <c r="Z55" s="54">
        <v>0</v>
      </c>
      <c r="AA55" s="54">
        <v>0</v>
      </c>
      <c r="AB55" s="54">
        <v>0</v>
      </c>
      <c r="AC55" s="54">
        <v>0</v>
      </c>
      <c r="AD55" s="3">
        <v>0</v>
      </c>
      <c r="AE55" s="57"/>
      <c r="AF55" s="54">
        <v>0</v>
      </c>
      <c r="AG55" s="3">
        <v>0</v>
      </c>
      <c r="AH55" s="3">
        <v>11</v>
      </c>
      <c r="AI55" s="54">
        <v>0</v>
      </c>
      <c r="AL55" s="54">
        <v>1</v>
      </c>
      <c r="AM55" s="54">
        <v>1</v>
      </c>
      <c r="AN55" s="3">
        <v>0</v>
      </c>
      <c r="AO55" s="54">
        <v>0</v>
      </c>
      <c r="AP55" s="54">
        <v>0</v>
      </c>
      <c r="AQ55" s="54">
        <v>0</v>
      </c>
      <c r="AR55" s="3" t="s">
        <v>270</v>
      </c>
      <c r="AS55" s="3">
        <v>0</v>
      </c>
      <c r="AT55" s="54">
        <v>0</v>
      </c>
      <c r="AU55" s="54">
        <v>0</v>
      </c>
      <c r="AV55" s="54">
        <v>0</v>
      </c>
      <c r="AW55" s="3" t="s">
        <v>270</v>
      </c>
      <c r="AX55" s="54">
        <v>0</v>
      </c>
      <c r="BA55" s="54">
        <v>0</v>
      </c>
      <c r="BB55" s="54">
        <v>0</v>
      </c>
      <c r="BC55" s="3">
        <v>0</v>
      </c>
      <c r="BD55" s="3">
        <v>0</v>
      </c>
      <c r="BE55" s="54">
        <v>1</v>
      </c>
      <c r="BF55" s="54">
        <v>0</v>
      </c>
      <c r="BG55" s="54">
        <v>1</v>
      </c>
      <c r="BH55" s="54">
        <v>0</v>
      </c>
      <c r="BI55" s="3">
        <v>-1</v>
      </c>
    </row>
    <row r="56" spans="1:61" ht="18" x14ac:dyDescent="0.35">
      <c r="A56" s="53" t="s">
        <v>239</v>
      </c>
      <c r="B56" s="59" t="s">
        <v>262</v>
      </c>
      <c r="C56" s="19" t="s">
        <v>234</v>
      </c>
      <c r="D56" s="59" t="s">
        <v>263</v>
      </c>
      <c r="E56" s="60" t="s">
        <v>466</v>
      </c>
      <c r="F56" s="59" t="s">
        <v>319</v>
      </c>
      <c r="G56" s="54">
        <v>1</v>
      </c>
      <c r="H56" s="3">
        <v>10</v>
      </c>
      <c r="I56" s="3">
        <v>0</v>
      </c>
      <c r="J56" s="55">
        <v>44713.291655092602</v>
      </c>
      <c r="K56" s="55"/>
      <c r="L56" s="55"/>
      <c r="M56" s="55" t="s">
        <v>73</v>
      </c>
      <c r="N56" s="61" t="s">
        <v>69</v>
      </c>
      <c r="O56" s="61">
        <v>0</v>
      </c>
      <c r="P56" s="54">
        <v>0</v>
      </c>
      <c r="Q56" s="3">
        <v>64302</v>
      </c>
      <c r="R56" s="57">
        <v>44684.655682870398</v>
      </c>
      <c r="S56" s="57">
        <v>44716.985763888901</v>
      </c>
      <c r="T56" s="58" t="s">
        <v>467</v>
      </c>
      <c r="U56" s="58" t="s">
        <v>468</v>
      </c>
      <c r="V56" s="67">
        <v>93711</v>
      </c>
      <c r="W56" s="54">
        <v>0</v>
      </c>
      <c r="X56" s="3">
        <v>255</v>
      </c>
      <c r="Y56" s="54">
        <v>0</v>
      </c>
      <c r="Z56" s="54">
        <v>0</v>
      </c>
      <c r="AA56" s="54">
        <v>0</v>
      </c>
      <c r="AB56" s="54">
        <v>0</v>
      </c>
      <c r="AC56" s="54">
        <v>0</v>
      </c>
      <c r="AD56" s="3">
        <v>0</v>
      </c>
      <c r="AE56" s="57"/>
      <c r="AF56" s="54">
        <v>0</v>
      </c>
      <c r="AG56" s="3">
        <v>0</v>
      </c>
      <c r="AH56" s="3">
        <v>12</v>
      </c>
      <c r="AI56" s="54">
        <v>0</v>
      </c>
      <c r="AL56" s="54">
        <v>1</v>
      </c>
      <c r="AM56" s="54">
        <v>1</v>
      </c>
      <c r="AN56" s="3">
        <v>0</v>
      </c>
      <c r="AO56" s="54">
        <v>0</v>
      </c>
      <c r="AP56" s="54">
        <v>0</v>
      </c>
      <c r="AQ56" s="54">
        <v>0</v>
      </c>
      <c r="AR56" s="3" t="s">
        <v>270</v>
      </c>
      <c r="AS56" s="3">
        <v>0</v>
      </c>
      <c r="AT56" s="54">
        <v>0</v>
      </c>
      <c r="AU56" s="54">
        <v>0</v>
      </c>
      <c r="AV56" s="54">
        <v>0</v>
      </c>
      <c r="AW56" s="3" t="s">
        <v>270</v>
      </c>
      <c r="AX56" s="54">
        <v>0</v>
      </c>
      <c r="BA56" s="54">
        <v>0</v>
      </c>
      <c r="BB56" s="54">
        <v>0</v>
      </c>
      <c r="BC56" s="3">
        <v>0</v>
      </c>
      <c r="BD56" s="3">
        <v>0</v>
      </c>
      <c r="BE56" s="54">
        <v>1</v>
      </c>
      <c r="BF56" s="54">
        <v>0</v>
      </c>
      <c r="BG56" s="54">
        <v>1</v>
      </c>
      <c r="BH56" s="54">
        <v>0</v>
      </c>
      <c r="BI56" s="3">
        <v>-1</v>
      </c>
    </row>
    <row r="57" spans="1:61" ht="18" x14ac:dyDescent="0.35">
      <c r="A57" s="53" t="s">
        <v>239</v>
      </c>
      <c r="B57" s="59" t="s">
        <v>262</v>
      </c>
      <c r="C57" s="19" t="s">
        <v>234</v>
      </c>
      <c r="D57" s="59" t="s">
        <v>263</v>
      </c>
      <c r="E57" s="60" t="s">
        <v>469</v>
      </c>
      <c r="F57" s="59" t="s">
        <v>323</v>
      </c>
      <c r="G57" s="54">
        <v>1</v>
      </c>
      <c r="H57" s="3">
        <v>10</v>
      </c>
      <c r="I57" s="3">
        <v>0</v>
      </c>
      <c r="J57" s="55">
        <v>44716.291655092602</v>
      </c>
      <c r="K57" s="55"/>
      <c r="L57" s="55"/>
      <c r="M57" s="55" t="s">
        <v>73</v>
      </c>
      <c r="N57" s="61" t="s">
        <v>69</v>
      </c>
      <c r="O57" s="61">
        <v>0</v>
      </c>
      <c r="P57" s="54">
        <v>0</v>
      </c>
      <c r="Q57" s="3">
        <v>64302</v>
      </c>
      <c r="R57" s="57">
        <v>44684.655694444402</v>
      </c>
      <c r="S57" s="57">
        <v>44716.985763888901</v>
      </c>
      <c r="T57" s="58" t="s">
        <v>470</v>
      </c>
      <c r="U57" s="58" t="s">
        <v>471</v>
      </c>
      <c r="V57" s="67">
        <v>93711</v>
      </c>
      <c r="W57" s="54">
        <v>0</v>
      </c>
      <c r="X57" s="3">
        <v>255</v>
      </c>
      <c r="Y57" s="54">
        <v>0</v>
      </c>
      <c r="Z57" s="54">
        <v>0</v>
      </c>
      <c r="AA57" s="54">
        <v>0</v>
      </c>
      <c r="AB57" s="54">
        <v>0</v>
      </c>
      <c r="AC57" s="54">
        <v>0</v>
      </c>
      <c r="AD57" s="3">
        <v>0</v>
      </c>
      <c r="AE57" s="57"/>
      <c r="AF57" s="54">
        <v>0</v>
      </c>
      <c r="AG57" s="3">
        <v>0</v>
      </c>
      <c r="AH57" s="3">
        <v>13</v>
      </c>
      <c r="AI57" s="54">
        <v>0</v>
      </c>
      <c r="AL57" s="54">
        <v>1</v>
      </c>
      <c r="AM57" s="54">
        <v>1</v>
      </c>
      <c r="AN57" s="3">
        <v>0</v>
      </c>
      <c r="AO57" s="54">
        <v>0</v>
      </c>
      <c r="AP57" s="54">
        <v>0</v>
      </c>
      <c r="AQ57" s="54">
        <v>0</v>
      </c>
      <c r="AR57" s="3" t="s">
        <v>270</v>
      </c>
      <c r="AS57" s="3">
        <v>0</v>
      </c>
      <c r="AT57" s="54">
        <v>0</v>
      </c>
      <c r="AU57" s="54">
        <v>0</v>
      </c>
      <c r="AV57" s="54">
        <v>0</v>
      </c>
      <c r="AW57" s="3" t="s">
        <v>270</v>
      </c>
      <c r="AX57" s="54">
        <v>0</v>
      </c>
      <c r="BA57" s="54">
        <v>0</v>
      </c>
      <c r="BB57" s="54">
        <v>0</v>
      </c>
      <c r="BC57" s="3">
        <v>0</v>
      </c>
      <c r="BD57" s="3">
        <v>0</v>
      </c>
      <c r="BE57" s="54">
        <v>1</v>
      </c>
      <c r="BF57" s="54">
        <v>0</v>
      </c>
      <c r="BG57" s="54">
        <v>1</v>
      </c>
      <c r="BH57" s="54">
        <v>0</v>
      </c>
      <c r="BI57" s="3">
        <v>-1</v>
      </c>
    </row>
    <row r="58" spans="1:61" ht="18" x14ac:dyDescent="0.35">
      <c r="A58" s="53" t="s">
        <v>239</v>
      </c>
      <c r="B58" s="59" t="s">
        <v>262</v>
      </c>
      <c r="C58" s="19" t="s">
        <v>234</v>
      </c>
      <c r="D58" s="59" t="s">
        <v>263</v>
      </c>
      <c r="E58" s="60" t="s">
        <v>472</v>
      </c>
      <c r="F58" s="59" t="s">
        <v>327</v>
      </c>
      <c r="G58" s="54">
        <v>1</v>
      </c>
      <c r="H58" s="3">
        <v>10</v>
      </c>
      <c r="I58" s="3">
        <v>0</v>
      </c>
      <c r="J58" s="55">
        <v>44723.291655092602</v>
      </c>
      <c r="K58" s="55"/>
      <c r="L58" s="55"/>
      <c r="M58" s="55" t="s">
        <v>73</v>
      </c>
      <c r="N58" s="61" t="s">
        <v>69</v>
      </c>
      <c r="O58" s="61">
        <v>0</v>
      </c>
      <c r="P58" s="54">
        <v>0</v>
      </c>
      <c r="Q58" s="3">
        <v>64302</v>
      </c>
      <c r="R58" s="57">
        <v>44684.6557060185</v>
      </c>
      <c r="S58" s="57">
        <v>44716.985775462999</v>
      </c>
      <c r="T58" s="58" t="s">
        <v>473</v>
      </c>
      <c r="U58" s="58" t="s">
        <v>474</v>
      </c>
      <c r="V58" s="67">
        <v>93711</v>
      </c>
      <c r="W58" s="54">
        <v>0</v>
      </c>
      <c r="X58" s="3">
        <v>255</v>
      </c>
      <c r="Y58" s="54">
        <v>0</v>
      </c>
      <c r="Z58" s="54">
        <v>0</v>
      </c>
      <c r="AA58" s="54">
        <v>0</v>
      </c>
      <c r="AB58" s="54">
        <v>0</v>
      </c>
      <c r="AC58" s="54">
        <v>0</v>
      </c>
      <c r="AD58" s="3">
        <v>0</v>
      </c>
      <c r="AE58" s="57"/>
      <c r="AF58" s="54">
        <v>0</v>
      </c>
      <c r="AG58" s="3">
        <v>0</v>
      </c>
      <c r="AH58" s="3">
        <v>14</v>
      </c>
      <c r="AI58" s="54">
        <v>0</v>
      </c>
      <c r="AL58" s="54">
        <v>1</v>
      </c>
      <c r="AM58" s="54">
        <v>1</v>
      </c>
      <c r="AN58" s="3">
        <v>0</v>
      </c>
      <c r="AO58" s="54">
        <v>0</v>
      </c>
      <c r="AP58" s="54">
        <v>0</v>
      </c>
      <c r="AQ58" s="54">
        <v>0</v>
      </c>
      <c r="AR58" s="3" t="s">
        <v>270</v>
      </c>
      <c r="AS58" s="3">
        <v>0</v>
      </c>
      <c r="AT58" s="54">
        <v>0</v>
      </c>
      <c r="AU58" s="54">
        <v>0</v>
      </c>
      <c r="AV58" s="54">
        <v>0</v>
      </c>
      <c r="AW58" s="3" t="s">
        <v>270</v>
      </c>
      <c r="AX58" s="54">
        <v>0</v>
      </c>
      <c r="BA58" s="54">
        <v>0</v>
      </c>
      <c r="BB58" s="54">
        <v>0</v>
      </c>
      <c r="BC58" s="3">
        <v>0</v>
      </c>
      <c r="BD58" s="3">
        <v>0</v>
      </c>
      <c r="BE58" s="54">
        <v>1</v>
      </c>
      <c r="BF58" s="54">
        <v>0</v>
      </c>
      <c r="BG58" s="54">
        <v>1</v>
      </c>
      <c r="BH58" s="54">
        <v>0</v>
      </c>
      <c r="BI58" s="3">
        <v>-1</v>
      </c>
    </row>
    <row r="59" spans="1:61" ht="18" x14ac:dyDescent="0.35">
      <c r="A59" s="53" t="s">
        <v>239</v>
      </c>
      <c r="B59" s="59" t="s">
        <v>262</v>
      </c>
      <c r="C59" s="19" t="s">
        <v>234</v>
      </c>
      <c r="D59" s="59" t="s">
        <v>263</v>
      </c>
      <c r="E59" s="60" t="s">
        <v>516</v>
      </c>
      <c r="F59" s="59" t="s">
        <v>275</v>
      </c>
      <c r="G59" s="54">
        <v>1</v>
      </c>
      <c r="H59" s="3">
        <v>10</v>
      </c>
      <c r="I59" s="3">
        <v>0</v>
      </c>
      <c r="J59" s="55"/>
      <c r="K59" s="55"/>
      <c r="L59" s="55"/>
      <c r="M59" s="55" t="s">
        <v>73</v>
      </c>
      <c r="N59" s="61" t="s">
        <v>69</v>
      </c>
      <c r="O59" s="61">
        <v>0</v>
      </c>
      <c r="P59" s="54">
        <v>0</v>
      </c>
      <c r="Q59" s="3">
        <v>64302</v>
      </c>
      <c r="R59" s="57">
        <v>44693.654502314799</v>
      </c>
      <c r="S59" s="57">
        <v>44693.654502314799</v>
      </c>
      <c r="T59" s="58" t="s">
        <v>517</v>
      </c>
      <c r="U59" s="58" t="s">
        <v>518</v>
      </c>
      <c r="V59" s="67">
        <v>93711</v>
      </c>
      <c r="W59" s="54">
        <v>0</v>
      </c>
      <c r="X59" s="3">
        <v>255</v>
      </c>
      <c r="Y59" s="54">
        <v>0</v>
      </c>
      <c r="Z59" s="54">
        <v>0</v>
      </c>
      <c r="AA59" s="54">
        <v>0</v>
      </c>
      <c r="AB59" s="54">
        <v>0</v>
      </c>
      <c r="AC59" s="54">
        <v>0</v>
      </c>
      <c r="AD59" s="3">
        <v>0</v>
      </c>
      <c r="AE59" s="57"/>
      <c r="AF59" s="54">
        <v>0</v>
      </c>
      <c r="AG59" s="3">
        <v>0</v>
      </c>
      <c r="AH59" s="3">
        <v>17</v>
      </c>
      <c r="AI59" s="54">
        <v>0</v>
      </c>
      <c r="AL59" s="54">
        <v>1</v>
      </c>
      <c r="AM59" s="54">
        <v>1</v>
      </c>
      <c r="AN59" s="3">
        <v>0</v>
      </c>
      <c r="AO59" s="54">
        <v>0</v>
      </c>
      <c r="AP59" s="54">
        <v>0</v>
      </c>
      <c r="AQ59" s="54">
        <v>0</v>
      </c>
      <c r="AR59" s="3" t="s">
        <v>270</v>
      </c>
      <c r="AS59" s="3">
        <v>0</v>
      </c>
      <c r="AT59" s="54">
        <v>0</v>
      </c>
      <c r="AU59" s="54">
        <v>0</v>
      </c>
      <c r="AV59" s="54">
        <v>0</v>
      </c>
      <c r="AW59" s="3" t="s">
        <v>270</v>
      </c>
      <c r="AX59" s="54">
        <v>0</v>
      </c>
      <c r="BA59" s="54">
        <v>0</v>
      </c>
      <c r="BB59" s="54">
        <v>0</v>
      </c>
      <c r="BC59" s="3">
        <v>0</v>
      </c>
      <c r="BD59" s="3">
        <v>0</v>
      </c>
      <c r="BE59" s="54">
        <v>1</v>
      </c>
      <c r="BF59" s="54">
        <v>0</v>
      </c>
      <c r="BG59" s="54">
        <v>1</v>
      </c>
      <c r="BH59" s="54">
        <v>0</v>
      </c>
      <c r="BI59" s="3">
        <v>-1</v>
      </c>
    </row>
    <row r="60" spans="1:61" ht="18" x14ac:dyDescent="0.35">
      <c r="A60" s="53" t="s">
        <v>240</v>
      </c>
      <c r="B60" s="59" t="s">
        <v>264</v>
      </c>
      <c r="C60" s="19" t="s">
        <v>234</v>
      </c>
      <c r="D60" s="59" t="s">
        <v>265</v>
      </c>
      <c r="E60" s="60" t="s">
        <v>271</v>
      </c>
      <c r="F60" s="59" t="s">
        <v>267</v>
      </c>
      <c r="G60" s="54">
        <v>1</v>
      </c>
      <c r="H60" s="3">
        <v>25</v>
      </c>
      <c r="I60" s="3">
        <v>495</v>
      </c>
      <c r="J60" s="55">
        <v>44618.333321759303</v>
      </c>
      <c r="K60" s="55"/>
      <c r="L60" s="55"/>
      <c r="M60" s="55" t="s">
        <v>78</v>
      </c>
      <c r="N60" s="61" t="s">
        <v>69</v>
      </c>
      <c r="O60" s="61">
        <v>0</v>
      </c>
      <c r="P60" s="54">
        <v>0</v>
      </c>
      <c r="Q60" s="3">
        <v>80436</v>
      </c>
      <c r="R60" s="57">
        <v>44616.259270833303</v>
      </c>
      <c r="S60" s="57">
        <v>44628.681886574101</v>
      </c>
      <c r="T60" s="58" t="s">
        <v>272</v>
      </c>
      <c r="U60" s="58" t="s">
        <v>273</v>
      </c>
      <c r="V60" s="67">
        <v>77281</v>
      </c>
      <c r="W60" s="54">
        <v>0</v>
      </c>
      <c r="X60" s="3">
        <v>255</v>
      </c>
      <c r="Y60" s="54">
        <v>0</v>
      </c>
      <c r="Z60" s="54">
        <v>0</v>
      </c>
      <c r="AA60" s="54">
        <v>0</v>
      </c>
      <c r="AB60" s="54">
        <v>0</v>
      </c>
      <c r="AC60" s="54">
        <v>0</v>
      </c>
      <c r="AD60" s="3">
        <v>0</v>
      </c>
      <c r="AE60" s="57"/>
      <c r="AF60" s="54">
        <v>0</v>
      </c>
      <c r="AG60" s="3">
        <v>0</v>
      </c>
      <c r="AH60" s="3">
        <v>1</v>
      </c>
      <c r="AI60" s="54">
        <v>0</v>
      </c>
      <c r="AL60" s="54">
        <v>0</v>
      </c>
      <c r="AM60" s="54">
        <v>1</v>
      </c>
      <c r="AN60" s="3">
        <v>0</v>
      </c>
      <c r="AO60" s="54">
        <v>0</v>
      </c>
      <c r="AP60" s="54">
        <v>0</v>
      </c>
      <c r="AQ60" s="54">
        <v>0</v>
      </c>
      <c r="AR60" s="3" t="s">
        <v>270</v>
      </c>
      <c r="AS60" s="3">
        <v>0</v>
      </c>
      <c r="AT60" s="54">
        <v>0</v>
      </c>
      <c r="AU60" s="54">
        <v>0</v>
      </c>
      <c r="AV60" s="54">
        <v>0</v>
      </c>
      <c r="AW60" s="3" t="s">
        <v>270</v>
      </c>
      <c r="AX60" s="54">
        <v>0</v>
      </c>
      <c r="BA60" s="54">
        <v>0</v>
      </c>
      <c r="BB60" s="54">
        <v>0</v>
      </c>
      <c r="BC60" s="3">
        <v>0</v>
      </c>
      <c r="BD60" s="3">
        <v>0</v>
      </c>
      <c r="BE60" s="54">
        <v>1</v>
      </c>
      <c r="BF60" s="54">
        <v>0</v>
      </c>
      <c r="BG60" s="54">
        <v>1</v>
      </c>
      <c r="BH60" s="54">
        <v>0</v>
      </c>
      <c r="BI60" s="3">
        <v>-1</v>
      </c>
    </row>
    <row r="61" spans="1:61" ht="18" x14ac:dyDescent="0.35">
      <c r="A61" s="53" t="s">
        <v>240</v>
      </c>
      <c r="B61" s="59" t="s">
        <v>264</v>
      </c>
      <c r="C61" s="19" t="s">
        <v>234</v>
      </c>
      <c r="D61" s="59" t="s">
        <v>265</v>
      </c>
      <c r="E61" s="60" t="s">
        <v>396</v>
      </c>
      <c r="F61" s="59" t="s">
        <v>342</v>
      </c>
      <c r="G61" s="54">
        <v>1</v>
      </c>
      <c r="H61" s="3">
        <v>15</v>
      </c>
      <c r="I61" s="3">
        <v>643</v>
      </c>
      <c r="J61" s="55">
        <v>44625.333321759303</v>
      </c>
      <c r="K61" s="55"/>
      <c r="L61" s="55"/>
      <c r="M61" s="55" t="s">
        <v>75</v>
      </c>
      <c r="N61" s="61" t="s">
        <v>69</v>
      </c>
      <c r="O61" s="61">
        <v>4867</v>
      </c>
      <c r="P61" s="54">
        <v>0</v>
      </c>
      <c r="Q61" s="3">
        <v>80436</v>
      </c>
      <c r="R61" s="57">
        <v>44621.690798611096</v>
      </c>
      <c r="S61" s="57">
        <v>44664.130416666703</v>
      </c>
      <c r="T61" s="58" t="s">
        <v>397</v>
      </c>
      <c r="U61" s="58" t="s">
        <v>398</v>
      </c>
      <c r="V61" s="67">
        <v>77281</v>
      </c>
      <c r="W61" s="54">
        <v>0</v>
      </c>
      <c r="X61" s="3">
        <v>255</v>
      </c>
      <c r="Y61" s="54">
        <v>0</v>
      </c>
      <c r="Z61" s="54">
        <v>0</v>
      </c>
      <c r="AA61" s="54">
        <v>1</v>
      </c>
      <c r="AB61" s="54">
        <v>0</v>
      </c>
      <c r="AC61" s="54">
        <v>0</v>
      </c>
      <c r="AD61" s="3">
        <v>0</v>
      </c>
      <c r="AE61" s="57"/>
      <c r="AF61" s="54">
        <v>0</v>
      </c>
      <c r="AG61" s="3">
        <v>0</v>
      </c>
      <c r="AH61" s="3">
        <v>2</v>
      </c>
      <c r="AI61" s="54">
        <v>0</v>
      </c>
      <c r="AL61" s="54">
        <v>0</v>
      </c>
      <c r="AM61" s="54">
        <v>0</v>
      </c>
      <c r="AN61" s="3">
        <v>0</v>
      </c>
      <c r="AO61" s="54">
        <v>1</v>
      </c>
      <c r="AP61" s="54">
        <v>0</v>
      </c>
      <c r="AQ61" s="54">
        <v>0</v>
      </c>
      <c r="AR61" s="3" t="s">
        <v>270</v>
      </c>
      <c r="AS61" s="3">
        <v>0</v>
      </c>
      <c r="AT61" s="54">
        <v>0</v>
      </c>
      <c r="AU61" s="54">
        <v>0</v>
      </c>
      <c r="AV61" s="54">
        <v>0</v>
      </c>
      <c r="AW61" s="3" t="s">
        <v>270</v>
      </c>
      <c r="AX61" s="54">
        <v>0</v>
      </c>
      <c r="BA61" s="54">
        <v>0</v>
      </c>
      <c r="BB61" s="54">
        <v>0</v>
      </c>
      <c r="BC61" s="3">
        <v>0</v>
      </c>
      <c r="BD61" s="3">
        <v>0</v>
      </c>
      <c r="BE61" s="54">
        <v>1</v>
      </c>
      <c r="BF61" s="54">
        <v>0</v>
      </c>
      <c r="BG61" s="54">
        <v>1</v>
      </c>
      <c r="BH61" s="54">
        <v>0</v>
      </c>
      <c r="BI61" s="3">
        <v>-1</v>
      </c>
    </row>
    <row r="62" spans="1:61" ht="18" x14ac:dyDescent="0.35">
      <c r="A62" s="53" t="s">
        <v>240</v>
      </c>
      <c r="B62" s="59" t="s">
        <v>264</v>
      </c>
      <c r="C62" s="19" t="s">
        <v>234</v>
      </c>
      <c r="D62" s="59" t="s">
        <v>265</v>
      </c>
      <c r="E62" s="60" t="s">
        <v>399</v>
      </c>
      <c r="F62" s="59" t="s">
        <v>350</v>
      </c>
      <c r="G62" s="54">
        <v>1</v>
      </c>
      <c r="H62" s="3">
        <v>25</v>
      </c>
      <c r="I62" s="3">
        <v>506</v>
      </c>
      <c r="J62" s="55">
        <v>44626.333321759303</v>
      </c>
      <c r="K62" s="55"/>
      <c r="L62" s="55"/>
      <c r="M62" s="55" t="s">
        <v>90</v>
      </c>
      <c r="N62" s="61" t="s">
        <v>69</v>
      </c>
      <c r="O62" s="61">
        <v>4867</v>
      </c>
      <c r="P62" s="54">
        <v>0</v>
      </c>
      <c r="Q62" s="3">
        <v>80436</v>
      </c>
      <c r="R62" s="57">
        <v>44620.695995370399</v>
      </c>
      <c r="S62" s="57">
        <v>44643.277268518497</v>
      </c>
      <c r="T62" s="58" t="s">
        <v>400</v>
      </c>
      <c r="U62" s="58" t="s">
        <v>401</v>
      </c>
      <c r="V62" s="67">
        <v>77281</v>
      </c>
      <c r="W62" s="54">
        <v>0</v>
      </c>
      <c r="X62" s="3">
        <v>255</v>
      </c>
      <c r="Y62" s="54">
        <v>0</v>
      </c>
      <c r="Z62" s="54">
        <v>0</v>
      </c>
      <c r="AA62" s="54">
        <v>0</v>
      </c>
      <c r="AB62" s="54">
        <v>0</v>
      </c>
      <c r="AC62" s="54">
        <v>0</v>
      </c>
      <c r="AD62" s="3">
        <v>0</v>
      </c>
      <c r="AE62" s="57"/>
      <c r="AF62" s="54">
        <v>0</v>
      </c>
      <c r="AG62" s="3">
        <v>0</v>
      </c>
      <c r="AH62" s="3">
        <v>3</v>
      </c>
      <c r="AI62" s="54">
        <v>0</v>
      </c>
      <c r="AL62" s="54">
        <v>0</v>
      </c>
      <c r="AM62" s="54">
        <v>1</v>
      </c>
      <c r="AN62" s="3">
        <v>0</v>
      </c>
      <c r="AO62" s="54">
        <v>0</v>
      </c>
      <c r="AP62" s="54">
        <v>0</v>
      </c>
      <c r="AQ62" s="54">
        <v>0</v>
      </c>
      <c r="AR62" s="3" t="s">
        <v>270</v>
      </c>
      <c r="AS62" s="3">
        <v>0</v>
      </c>
      <c r="AT62" s="54">
        <v>0</v>
      </c>
      <c r="AU62" s="54">
        <v>0</v>
      </c>
      <c r="AV62" s="54">
        <v>0</v>
      </c>
      <c r="AW62" s="3" t="s">
        <v>270</v>
      </c>
      <c r="AX62" s="54">
        <v>0</v>
      </c>
      <c r="BA62" s="54">
        <v>0</v>
      </c>
      <c r="BB62" s="54">
        <v>0</v>
      </c>
      <c r="BC62" s="3">
        <v>0</v>
      </c>
      <c r="BD62" s="3">
        <v>0</v>
      </c>
      <c r="BE62" s="54">
        <v>1</v>
      </c>
      <c r="BF62" s="54">
        <v>0</v>
      </c>
      <c r="BG62" s="54">
        <v>1</v>
      </c>
      <c r="BH62" s="54">
        <v>0</v>
      </c>
      <c r="BI62" s="3">
        <v>-1</v>
      </c>
    </row>
    <row r="63" spans="1:61" ht="18" x14ac:dyDescent="0.35">
      <c r="A63" s="53" t="s">
        <v>240</v>
      </c>
      <c r="B63" s="59" t="s">
        <v>264</v>
      </c>
      <c r="C63" s="19" t="s">
        <v>234</v>
      </c>
      <c r="D63" s="59" t="s">
        <v>265</v>
      </c>
      <c r="E63" s="60" t="s">
        <v>402</v>
      </c>
      <c r="F63" s="59" t="s">
        <v>346</v>
      </c>
      <c r="G63" s="54">
        <v>1</v>
      </c>
      <c r="H63" s="3">
        <v>10</v>
      </c>
      <c r="I63" s="3">
        <v>1084</v>
      </c>
      <c r="J63" s="55">
        <v>44632.333321759303</v>
      </c>
      <c r="K63" s="55"/>
      <c r="L63" s="55"/>
      <c r="M63" s="55" t="s">
        <v>90</v>
      </c>
      <c r="N63" s="61" t="s">
        <v>69</v>
      </c>
      <c r="O63" s="61">
        <v>4867</v>
      </c>
      <c r="P63" s="54">
        <v>0</v>
      </c>
      <c r="Q63" s="3">
        <v>80436</v>
      </c>
      <c r="R63" s="57">
        <v>44627.726307870398</v>
      </c>
      <c r="S63" s="57">
        <v>44643.277488425898</v>
      </c>
      <c r="T63" s="58" t="s">
        <v>403</v>
      </c>
      <c r="U63" s="58" t="s">
        <v>404</v>
      </c>
      <c r="V63" s="67">
        <v>77281</v>
      </c>
      <c r="W63" s="54">
        <v>0</v>
      </c>
      <c r="X63" s="3">
        <v>255</v>
      </c>
      <c r="Y63" s="54">
        <v>0</v>
      </c>
      <c r="Z63" s="54">
        <v>0</v>
      </c>
      <c r="AA63" s="54">
        <v>0</v>
      </c>
      <c r="AB63" s="54">
        <v>0</v>
      </c>
      <c r="AC63" s="54">
        <v>0</v>
      </c>
      <c r="AD63" s="3">
        <v>0</v>
      </c>
      <c r="AE63" s="57"/>
      <c r="AF63" s="54">
        <v>0</v>
      </c>
      <c r="AG63" s="3">
        <v>0</v>
      </c>
      <c r="AH63" s="3">
        <v>4</v>
      </c>
      <c r="AI63" s="54">
        <v>0</v>
      </c>
      <c r="AL63" s="54">
        <v>0</v>
      </c>
      <c r="AM63" s="54">
        <v>1</v>
      </c>
      <c r="AN63" s="3">
        <v>0</v>
      </c>
      <c r="AO63" s="54">
        <v>0</v>
      </c>
      <c r="AP63" s="54">
        <v>0</v>
      </c>
      <c r="AQ63" s="54">
        <v>0</v>
      </c>
      <c r="AR63" s="3" t="s">
        <v>270</v>
      </c>
      <c r="AS63" s="3">
        <v>0</v>
      </c>
      <c r="AT63" s="54">
        <v>0</v>
      </c>
      <c r="AU63" s="54">
        <v>0</v>
      </c>
      <c r="AV63" s="54">
        <v>0</v>
      </c>
      <c r="AW63" s="3" t="s">
        <v>270</v>
      </c>
      <c r="AX63" s="54">
        <v>0</v>
      </c>
      <c r="BA63" s="54">
        <v>0</v>
      </c>
      <c r="BB63" s="54">
        <v>0</v>
      </c>
      <c r="BC63" s="3">
        <v>0</v>
      </c>
      <c r="BD63" s="3">
        <v>0</v>
      </c>
      <c r="BE63" s="54">
        <v>1</v>
      </c>
      <c r="BF63" s="54">
        <v>0</v>
      </c>
      <c r="BG63" s="54">
        <v>1</v>
      </c>
      <c r="BH63" s="54">
        <v>0</v>
      </c>
      <c r="BI63" s="3">
        <v>-1</v>
      </c>
    </row>
    <row r="64" spans="1:61" ht="18" x14ac:dyDescent="0.35">
      <c r="A64" s="53" t="s">
        <v>240</v>
      </c>
      <c r="B64" s="59" t="s">
        <v>264</v>
      </c>
      <c r="C64" s="19" t="s">
        <v>234</v>
      </c>
      <c r="D64" s="59" t="s">
        <v>265</v>
      </c>
      <c r="E64" s="60" t="s">
        <v>405</v>
      </c>
      <c r="F64" s="59" t="s">
        <v>354</v>
      </c>
      <c r="G64" s="54">
        <v>1</v>
      </c>
      <c r="H64" s="3">
        <v>10</v>
      </c>
      <c r="I64" s="3">
        <v>815</v>
      </c>
      <c r="J64" s="55">
        <v>44639.291655092602</v>
      </c>
      <c r="K64" s="55"/>
      <c r="L64" s="55"/>
      <c r="M64" s="55" t="s">
        <v>90</v>
      </c>
      <c r="N64" s="61" t="s">
        <v>69</v>
      </c>
      <c r="O64" s="61">
        <v>4867</v>
      </c>
      <c r="P64" s="54">
        <v>0</v>
      </c>
      <c r="Q64" s="3">
        <v>80436</v>
      </c>
      <c r="R64" s="57">
        <v>44627.726307870398</v>
      </c>
      <c r="S64" s="57">
        <v>44643.277708333299</v>
      </c>
      <c r="T64" s="58" t="s">
        <v>406</v>
      </c>
      <c r="U64" s="58" t="s">
        <v>407</v>
      </c>
      <c r="V64" s="67">
        <v>77281</v>
      </c>
      <c r="W64" s="54">
        <v>0</v>
      </c>
      <c r="X64" s="3">
        <v>255</v>
      </c>
      <c r="Y64" s="54">
        <v>0</v>
      </c>
      <c r="Z64" s="54">
        <v>0</v>
      </c>
      <c r="AA64" s="54">
        <v>0</v>
      </c>
      <c r="AB64" s="54">
        <v>0</v>
      </c>
      <c r="AC64" s="54">
        <v>0</v>
      </c>
      <c r="AD64" s="3">
        <v>0</v>
      </c>
      <c r="AE64" s="57"/>
      <c r="AF64" s="54">
        <v>0</v>
      </c>
      <c r="AG64" s="3">
        <v>0</v>
      </c>
      <c r="AH64" s="3">
        <v>5</v>
      </c>
      <c r="AI64" s="54">
        <v>0</v>
      </c>
      <c r="AL64" s="54">
        <v>0</v>
      </c>
      <c r="AM64" s="54">
        <v>1</v>
      </c>
      <c r="AN64" s="3">
        <v>0</v>
      </c>
      <c r="AO64" s="54">
        <v>0</v>
      </c>
      <c r="AP64" s="54">
        <v>0</v>
      </c>
      <c r="AQ64" s="54">
        <v>0</v>
      </c>
      <c r="AR64" s="3" t="s">
        <v>270</v>
      </c>
      <c r="AS64" s="3">
        <v>0</v>
      </c>
      <c r="AT64" s="54">
        <v>0</v>
      </c>
      <c r="AU64" s="54">
        <v>0</v>
      </c>
      <c r="AV64" s="54">
        <v>0</v>
      </c>
      <c r="AW64" s="3" t="s">
        <v>270</v>
      </c>
      <c r="AX64" s="54">
        <v>0</v>
      </c>
      <c r="BA64" s="54">
        <v>0</v>
      </c>
      <c r="BB64" s="54">
        <v>0</v>
      </c>
      <c r="BC64" s="3">
        <v>0</v>
      </c>
      <c r="BD64" s="3">
        <v>0</v>
      </c>
      <c r="BE64" s="54">
        <v>1</v>
      </c>
      <c r="BF64" s="54">
        <v>0</v>
      </c>
      <c r="BG64" s="54">
        <v>1</v>
      </c>
      <c r="BH64" s="54">
        <v>0</v>
      </c>
      <c r="BI64" s="3">
        <v>-1</v>
      </c>
    </row>
    <row r="65" spans="1:61" ht="18" x14ac:dyDescent="0.35">
      <c r="A65" s="53" t="s">
        <v>240</v>
      </c>
      <c r="B65" s="59" t="s">
        <v>264</v>
      </c>
      <c r="C65" s="19" t="s">
        <v>234</v>
      </c>
      <c r="D65" s="59" t="s">
        <v>265</v>
      </c>
      <c r="E65" s="60" t="s">
        <v>408</v>
      </c>
      <c r="F65" s="59" t="s">
        <v>358</v>
      </c>
      <c r="G65" s="54">
        <v>1</v>
      </c>
      <c r="H65" s="3">
        <v>25</v>
      </c>
      <c r="I65" s="3">
        <v>2618</v>
      </c>
      <c r="J65" s="55">
        <v>44651.291655092602</v>
      </c>
      <c r="K65" s="55"/>
      <c r="L65" s="55"/>
      <c r="M65" s="55" t="s">
        <v>90</v>
      </c>
      <c r="N65" s="61" t="s">
        <v>69</v>
      </c>
      <c r="O65" s="61">
        <v>4867</v>
      </c>
      <c r="P65" s="54">
        <v>0</v>
      </c>
      <c r="Q65" s="3">
        <v>80436</v>
      </c>
      <c r="R65" s="57">
        <v>44627.726319444402</v>
      </c>
      <c r="S65" s="57">
        <v>44664.116134259297</v>
      </c>
      <c r="T65" s="58" t="s">
        <v>409</v>
      </c>
      <c r="U65" s="58" t="s">
        <v>410</v>
      </c>
      <c r="V65" s="67">
        <v>77281</v>
      </c>
      <c r="W65" s="54">
        <v>0</v>
      </c>
      <c r="X65" s="3">
        <v>255</v>
      </c>
      <c r="Y65" s="54">
        <v>0</v>
      </c>
      <c r="Z65" s="54">
        <v>0</v>
      </c>
      <c r="AA65" s="54">
        <v>0</v>
      </c>
      <c r="AB65" s="54">
        <v>0</v>
      </c>
      <c r="AC65" s="54">
        <v>0</v>
      </c>
      <c r="AD65" s="3">
        <v>0</v>
      </c>
      <c r="AE65" s="57"/>
      <c r="AF65" s="54">
        <v>0</v>
      </c>
      <c r="AG65" s="3">
        <v>0</v>
      </c>
      <c r="AH65" s="3">
        <v>6</v>
      </c>
      <c r="AI65" s="54">
        <v>0</v>
      </c>
      <c r="AL65" s="54">
        <v>0</v>
      </c>
      <c r="AM65" s="54">
        <v>1</v>
      </c>
      <c r="AN65" s="3">
        <v>0</v>
      </c>
      <c r="AO65" s="54">
        <v>0</v>
      </c>
      <c r="AP65" s="54">
        <v>0</v>
      </c>
      <c r="AQ65" s="54">
        <v>0</v>
      </c>
      <c r="AR65" s="3" t="s">
        <v>270</v>
      </c>
      <c r="AS65" s="3">
        <v>0</v>
      </c>
      <c r="AT65" s="54">
        <v>0</v>
      </c>
      <c r="AU65" s="54">
        <v>0</v>
      </c>
      <c r="AV65" s="54">
        <v>0</v>
      </c>
      <c r="AW65" s="3" t="s">
        <v>270</v>
      </c>
      <c r="AX65" s="54">
        <v>0</v>
      </c>
      <c r="BA65" s="54">
        <v>0</v>
      </c>
      <c r="BB65" s="54">
        <v>0</v>
      </c>
      <c r="BC65" s="3">
        <v>0</v>
      </c>
      <c r="BD65" s="3">
        <v>0</v>
      </c>
      <c r="BE65" s="54">
        <v>1</v>
      </c>
      <c r="BF65" s="54">
        <v>0</v>
      </c>
      <c r="BG65" s="54">
        <v>1</v>
      </c>
      <c r="BH65" s="54">
        <v>0</v>
      </c>
      <c r="BI65" s="3">
        <v>-1</v>
      </c>
    </row>
    <row r="66" spans="1:61" ht="18" x14ac:dyDescent="0.35">
      <c r="A66" s="53" t="s">
        <v>240</v>
      </c>
      <c r="B66" s="59" t="s">
        <v>264</v>
      </c>
      <c r="C66" s="19" t="s">
        <v>234</v>
      </c>
      <c r="D66" s="59" t="s">
        <v>265</v>
      </c>
      <c r="E66" s="60" t="s">
        <v>411</v>
      </c>
      <c r="F66" s="59" t="s">
        <v>362</v>
      </c>
      <c r="G66" s="54">
        <v>1</v>
      </c>
      <c r="H66" s="3">
        <v>25</v>
      </c>
      <c r="I66" s="3">
        <v>382</v>
      </c>
      <c r="J66" s="55">
        <v>44653.291655092602</v>
      </c>
      <c r="K66" s="55"/>
      <c r="L66" s="55"/>
      <c r="M66" s="55" t="s">
        <v>90</v>
      </c>
      <c r="N66" s="61" t="s">
        <v>69</v>
      </c>
      <c r="O66" s="61">
        <v>4867</v>
      </c>
      <c r="P66" s="54">
        <v>0</v>
      </c>
      <c r="Q66" s="3">
        <v>80436</v>
      </c>
      <c r="R66" s="57">
        <v>44649.667291666701</v>
      </c>
      <c r="S66" s="57">
        <v>44664.116249999999</v>
      </c>
      <c r="T66" s="58" t="s">
        <v>412</v>
      </c>
      <c r="U66" s="58" t="s">
        <v>413</v>
      </c>
      <c r="V66" s="67">
        <v>77281</v>
      </c>
      <c r="W66" s="54">
        <v>0</v>
      </c>
      <c r="X66" s="3">
        <v>255</v>
      </c>
      <c r="Y66" s="54">
        <v>0</v>
      </c>
      <c r="Z66" s="54">
        <v>0</v>
      </c>
      <c r="AA66" s="54">
        <v>0</v>
      </c>
      <c r="AB66" s="54">
        <v>0</v>
      </c>
      <c r="AC66" s="54">
        <v>0</v>
      </c>
      <c r="AD66" s="3">
        <v>0</v>
      </c>
      <c r="AE66" s="57"/>
      <c r="AF66" s="54">
        <v>0</v>
      </c>
      <c r="AG66" s="3">
        <v>0</v>
      </c>
      <c r="AH66" s="3">
        <v>7</v>
      </c>
      <c r="AI66" s="54">
        <v>0</v>
      </c>
      <c r="AL66" s="54">
        <v>0</v>
      </c>
      <c r="AM66" s="54">
        <v>1</v>
      </c>
      <c r="AN66" s="3">
        <v>0</v>
      </c>
      <c r="AO66" s="54">
        <v>0</v>
      </c>
      <c r="AP66" s="54">
        <v>0</v>
      </c>
      <c r="AQ66" s="54">
        <v>0</v>
      </c>
      <c r="AR66" s="3" t="s">
        <v>270</v>
      </c>
      <c r="AS66" s="3">
        <v>0</v>
      </c>
      <c r="AT66" s="54">
        <v>0</v>
      </c>
      <c r="AU66" s="54">
        <v>0</v>
      </c>
      <c r="AV66" s="54">
        <v>0</v>
      </c>
      <c r="AW66" s="3" t="s">
        <v>270</v>
      </c>
      <c r="AX66" s="54">
        <v>0</v>
      </c>
      <c r="BA66" s="54">
        <v>0</v>
      </c>
      <c r="BB66" s="54">
        <v>0</v>
      </c>
      <c r="BC66" s="3">
        <v>0</v>
      </c>
      <c r="BD66" s="3">
        <v>0</v>
      </c>
      <c r="BE66" s="54">
        <v>1</v>
      </c>
      <c r="BF66" s="54">
        <v>0</v>
      </c>
      <c r="BG66" s="54">
        <v>1</v>
      </c>
      <c r="BH66" s="54">
        <v>0</v>
      </c>
      <c r="BI66" s="3">
        <v>-1</v>
      </c>
    </row>
    <row r="67" spans="1:61" ht="18" x14ac:dyDescent="0.35">
      <c r="A67" s="53" t="s">
        <v>240</v>
      </c>
      <c r="B67" s="59" t="s">
        <v>264</v>
      </c>
      <c r="C67" s="19" t="s">
        <v>234</v>
      </c>
      <c r="D67" s="59" t="s">
        <v>265</v>
      </c>
      <c r="E67" s="60" t="s">
        <v>414</v>
      </c>
      <c r="F67" s="59" t="s">
        <v>338</v>
      </c>
      <c r="G67" s="54">
        <v>1</v>
      </c>
      <c r="H67" s="3">
        <v>15</v>
      </c>
      <c r="I67" s="3">
        <v>1429</v>
      </c>
      <c r="J67" s="55">
        <v>44657.291655092602</v>
      </c>
      <c r="K67" s="55"/>
      <c r="L67" s="55"/>
      <c r="M67" s="55" t="s">
        <v>90</v>
      </c>
      <c r="N67" s="61" t="s">
        <v>69</v>
      </c>
      <c r="O67" s="61">
        <v>4867</v>
      </c>
      <c r="P67" s="54">
        <v>0</v>
      </c>
      <c r="Q67" s="3">
        <v>80436</v>
      </c>
      <c r="R67" s="57">
        <v>44649.667291666701</v>
      </c>
      <c r="S67" s="57">
        <v>44664.116805555597</v>
      </c>
      <c r="T67" s="58" t="s">
        <v>415</v>
      </c>
      <c r="U67" s="58" t="s">
        <v>416</v>
      </c>
      <c r="V67" s="67">
        <v>77281</v>
      </c>
      <c r="W67" s="54">
        <v>0</v>
      </c>
      <c r="X67" s="3">
        <v>255</v>
      </c>
      <c r="Y67" s="54">
        <v>0</v>
      </c>
      <c r="Z67" s="54">
        <v>0</v>
      </c>
      <c r="AA67" s="54">
        <v>0</v>
      </c>
      <c r="AB67" s="54">
        <v>0</v>
      </c>
      <c r="AC67" s="54">
        <v>0</v>
      </c>
      <c r="AD67" s="3">
        <v>0</v>
      </c>
      <c r="AE67" s="57"/>
      <c r="AF67" s="54">
        <v>0</v>
      </c>
      <c r="AG67" s="3">
        <v>0</v>
      </c>
      <c r="AH67" s="3">
        <v>8</v>
      </c>
      <c r="AI67" s="54">
        <v>0</v>
      </c>
      <c r="AL67" s="54">
        <v>0</v>
      </c>
      <c r="AM67" s="54">
        <v>1</v>
      </c>
      <c r="AN67" s="3">
        <v>0</v>
      </c>
      <c r="AO67" s="54">
        <v>0</v>
      </c>
      <c r="AP67" s="54">
        <v>0</v>
      </c>
      <c r="AQ67" s="54">
        <v>0</v>
      </c>
      <c r="AR67" s="3" t="s">
        <v>270</v>
      </c>
      <c r="AS67" s="3">
        <v>0</v>
      </c>
      <c r="AT67" s="54">
        <v>0</v>
      </c>
      <c r="AU67" s="54">
        <v>0</v>
      </c>
      <c r="AV67" s="54">
        <v>0</v>
      </c>
      <c r="AW67" s="3" t="s">
        <v>270</v>
      </c>
      <c r="AX67" s="54">
        <v>0</v>
      </c>
      <c r="BA67" s="54">
        <v>0</v>
      </c>
      <c r="BB67" s="54">
        <v>0</v>
      </c>
      <c r="BC67" s="3">
        <v>0</v>
      </c>
      <c r="BD67" s="3">
        <v>0</v>
      </c>
      <c r="BE67" s="54">
        <v>1</v>
      </c>
      <c r="BF67" s="54">
        <v>0</v>
      </c>
      <c r="BG67" s="54">
        <v>1</v>
      </c>
      <c r="BH67" s="54">
        <v>0</v>
      </c>
      <c r="BI67" s="3">
        <v>-1</v>
      </c>
    </row>
    <row r="68" spans="1:61" ht="18" x14ac:dyDescent="0.35">
      <c r="A68" s="53" t="s">
        <v>240</v>
      </c>
      <c r="B68" s="59" t="s">
        <v>264</v>
      </c>
      <c r="C68" s="19" t="s">
        <v>234</v>
      </c>
      <c r="D68" s="59" t="s">
        <v>265</v>
      </c>
      <c r="E68" s="60" t="s">
        <v>417</v>
      </c>
      <c r="F68" s="59" t="s">
        <v>366</v>
      </c>
      <c r="G68" s="54">
        <v>1</v>
      </c>
      <c r="H68" s="3">
        <v>30</v>
      </c>
      <c r="I68" s="3">
        <v>1695</v>
      </c>
      <c r="J68" s="55">
        <v>44688.291655092602</v>
      </c>
      <c r="K68" s="55"/>
      <c r="L68" s="55"/>
      <c r="M68" s="55" t="s">
        <v>90</v>
      </c>
      <c r="N68" s="61" t="s">
        <v>69</v>
      </c>
      <c r="O68" s="61">
        <v>0</v>
      </c>
      <c r="P68" s="54">
        <v>0</v>
      </c>
      <c r="Q68" s="3">
        <v>80436</v>
      </c>
      <c r="R68" s="57">
        <v>44649.667291666701</v>
      </c>
      <c r="S68" s="57">
        <v>44687.699768518498</v>
      </c>
      <c r="T68" s="58" t="s">
        <v>418</v>
      </c>
      <c r="U68" s="58" t="s">
        <v>419</v>
      </c>
      <c r="V68" s="67">
        <v>77281</v>
      </c>
      <c r="W68" s="54">
        <v>0</v>
      </c>
      <c r="X68" s="3">
        <v>255</v>
      </c>
      <c r="Y68" s="54">
        <v>0</v>
      </c>
      <c r="Z68" s="54">
        <v>0</v>
      </c>
      <c r="AA68" s="54">
        <v>0</v>
      </c>
      <c r="AB68" s="54">
        <v>0</v>
      </c>
      <c r="AC68" s="54">
        <v>0</v>
      </c>
      <c r="AD68" s="3">
        <v>0</v>
      </c>
      <c r="AE68" s="57"/>
      <c r="AF68" s="54">
        <v>0</v>
      </c>
      <c r="AG68" s="3">
        <v>0</v>
      </c>
      <c r="AH68" s="3">
        <v>9</v>
      </c>
      <c r="AI68" s="54">
        <v>0</v>
      </c>
      <c r="AL68" s="54">
        <v>1</v>
      </c>
      <c r="AM68" s="54">
        <v>1</v>
      </c>
      <c r="AN68" s="3">
        <v>0</v>
      </c>
      <c r="AO68" s="54">
        <v>0</v>
      </c>
      <c r="AP68" s="54">
        <v>0</v>
      </c>
      <c r="AQ68" s="54">
        <v>0</v>
      </c>
      <c r="AR68" s="3" t="s">
        <v>270</v>
      </c>
      <c r="AS68" s="3">
        <v>0</v>
      </c>
      <c r="AT68" s="54">
        <v>0</v>
      </c>
      <c r="AU68" s="54">
        <v>0</v>
      </c>
      <c r="AV68" s="54">
        <v>0</v>
      </c>
      <c r="AW68" s="3" t="s">
        <v>270</v>
      </c>
      <c r="AX68" s="54">
        <v>0</v>
      </c>
      <c r="BA68" s="54">
        <v>0</v>
      </c>
      <c r="BB68" s="54">
        <v>0</v>
      </c>
      <c r="BC68" s="3">
        <v>0</v>
      </c>
      <c r="BD68" s="3">
        <v>0</v>
      </c>
      <c r="BE68" s="54">
        <v>1</v>
      </c>
      <c r="BF68" s="54">
        <v>0</v>
      </c>
      <c r="BG68" s="54">
        <v>1</v>
      </c>
      <c r="BH68" s="54">
        <v>0</v>
      </c>
      <c r="BI68" s="3">
        <v>-1</v>
      </c>
    </row>
    <row r="69" spans="1:61" ht="18" x14ac:dyDescent="0.35">
      <c r="A69" s="53" t="s">
        <v>240</v>
      </c>
      <c r="B69" s="59" t="s">
        <v>264</v>
      </c>
      <c r="C69" s="19" t="s">
        <v>234</v>
      </c>
      <c r="D69" s="59" t="s">
        <v>265</v>
      </c>
      <c r="E69" s="60" t="s">
        <v>475</v>
      </c>
      <c r="F69" s="59" t="s">
        <v>460</v>
      </c>
      <c r="G69" s="54">
        <v>1</v>
      </c>
      <c r="H69" s="3">
        <v>25</v>
      </c>
      <c r="I69" s="3">
        <v>46</v>
      </c>
      <c r="J69" s="55">
        <v>44695.291655092602</v>
      </c>
      <c r="K69" s="55"/>
      <c r="L69" s="55"/>
      <c r="M69" s="55" t="s">
        <v>90</v>
      </c>
      <c r="N69" s="61" t="s">
        <v>69</v>
      </c>
      <c r="O69" s="61">
        <v>4867</v>
      </c>
      <c r="P69" s="54">
        <v>0</v>
      </c>
      <c r="Q69" s="3">
        <v>80436</v>
      </c>
      <c r="R69" s="57">
        <v>44685.6721412037</v>
      </c>
      <c r="S69" s="57">
        <v>44687.699652777803</v>
      </c>
      <c r="T69" s="58" t="s">
        <v>476</v>
      </c>
      <c r="U69" s="58" t="s">
        <v>477</v>
      </c>
      <c r="V69" s="67">
        <v>77281</v>
      </c>
      <c r="W69" s="54">
        <v>0</v>
      </c>
      <c r="X69" s="3">
        <v>255</v>
      </c>
      <c r="Y69" s="54">
        <v>0</v>
      </c>
      <c r="Z69" s="54">
        <v>0</v>
      </c>
      <c r="AA69" s="54">
        <v>0</v>
      </c>
      <c r="AB69" s="54">
        <v>0</v>
      </c>
      <c r="AC69" s="54">
        <v>0</v>
      </c>
      <c r="AD69" s="3">
        <v>0</v>
      </c>
      <c r="AE69" s="57"/>
      <c r="AF69" s="54">
        <v>0</v>
      </c>
      <c r="AG69" s="3">
        <v>0</v>
      </c>
      <c r="AH69" s="3">
        <v>10</v>
      </c>
      <c r="AI69" s="54">
        <v>0</v>
      </c>
      <c r="AL69" s="54">
        <v>1</v>
      </c>
      <c r="AM69" s="54">
        <v>1</v>
      </c>
      <c r="AN69" s="3">
        <v>0</v>
      </c>
      <c r="AO69" s="54">
        <v>0</v>
      </c>
      <c r="AP69" s="54">
        <v>0</v>
      </c>
      <c r="AQ69" s="54">
        <v>0</v>
      </c>
      <c r="AR69" s="3" t="s">
        <v>270</v>
      </c>
      <c r="AS69" s="3">
        <v>0</v>
      </c>
      <c r="AT69" s="54">
        <v>0</v>
      </c>
      <c r="AU69" s="54">
        <v>0</v>
      </c>
      <c r="AV69" s="54">
        <v>0</v>
      </c>
      <c r="AW69" s="3" t="s">
        <v>270</v>
      </c>
      <c r="AX69" s="54">
        <v>0</v>
      </c>
      <c r="BA69" s="54">
        <v>0</v>
      </c>
      <c r="BB69" s="54">
        <v>0</v>
      </c>
      <c r="BC69" s="3">
        <v>0</v>
      </c>
      <c r="BD69" s="3">
        <v>0</v>
      </c>
      <c r="BE69" s="54">
        <v>1</v>
      </c>
      <c r="BF69" s="54">
        <v>0</v>
      </c>
      <c r="BG69" s="54">
        <v>1</v>
      </c>
      <c r="BH69" s="54">
        <v>0</v>
      </c>
      <c r="BI69" s="3">
        <v>-1</v>
      </c>
    </row>
    <row r="70" spans="1:61" ht="18" x14ac:dyDescent="0.35">
      <c r="A70" s="53" t="s">
        <v>240</v>
      </c>
      <c r="B70" s="59" t="s">
        <v>264</v>
      </c>
      <c r="C70" s="19" t="s">
        <v>234</v>
      </c>
      <c r="D70" s="59" t="s">
        <v>265</v>
      </c>
      <c r="E70" s="60" t="s">
        <v>420</v>
      </c>
      <c r="F70" s="59" t="s">
        <v>279</v>
      </c>
      <c r="G70" s="54">
        <v>1</v>
      </c>
      <c r="H70" s="3">
        <v>10</v>
      </c>
      <c r="I70" s="3">
        <v>0</v>
      </c>
      <c r="J70" s="55">
        <v>44660.291655092602</v>
      </c>
      <c r="K70" s="55"/>
      <c r="L70" s="55"/>
      <c r="M70" s="55" t="s">
        <v>73</v>
      </c>
      <c r="N70" s="61" t="s">
        <v>69</v>
      </c>
      <c r="O70" s="61">
        <v>0</v>
      </c>
      <c r="P70" s="54">
        <v>0</v>
      </c>
      <c r="Q70" s="3">
        <v>80436</v>
      </c>
      <c r="R70" s="57">
        <v>44637.778402777803</v>
      </c>
      <c r="S70" s="57">
        <v>44716.992824074099</v>
      </c>
      <c r="T70" s="58" t="s">
        <v>421</v>
      </c>
      <c r="U70" s="58" t="s">
        <v>422</v>
      </c>
      <c r="V70" s="67">
        <v>91315</v>
      </c>
      <c r="W70" s="54">
        <v>0</v>
      </c>
      <c r="X70" s="3">
        <v>255</v>
      </c>
      <c r="Y70" s="54">
        <v>0</v>
      </c>
      <c r="Z70" s="54">
        <v>0</v>
      </c>
      <c r="AA70" s="54">
        <v>0</v>
      </c>
      <c r="AB70" s="54">
        <v>0</v>
      </c>
      <c r="AC70" s="54">
        <v>0</v>
      </c>
      <c r="AD70" s="3">
        <v>0</v>
      </c>
      <c r="AE70" s="57"/>
      <c r="AF70" s="54">
        <v>0</v>
      </c>
      <c r="AG70" s="3">
        <v>0</v>
      </c>
      <c r="AH70" s="3">
        <v>3</v>
      </c>
      <c r="AI70" s="54">
        <v>0</v>
      </c>
      <c r="AL70" s="54">
        <v>1</v>
      </c>
      <c r="AM70" s="54">
        <v>1</v>
      </c>
      <c r="AN70" s="3">
        <v>0</v>
      </c>
      <c r="AO70" s="54">
        <v>0</v>
      </c>
      <c r="AP70" s="54">
        <v>0</v>
      </c>
      <c r="AQ70" s="54">
        <v>0</v>
      </c>
      <c r="AR70" s="3" t="s">
        <v>270</v>
      </c>
      <c r="AS70" s="3">
        <v>0</v>
      </c>
      <c r="AT70" s="54">
        <v>0</v>
      </c>
      <c r="AU70" s="54">
        <v>0</v>
      </c>
      <c r="AV70" s="54">
        <v>0</v>
      </c>
      <c r="AW70" s="3" t="s">
        <v>270</v>
      </c>
      <c r="AX70" s="54">
        <v>0</v>
      </c>
      <c r="BA70" s="54">
        <v>0</v>
      </c>
      <c r="BB70" s="54">
        <v>0</v>
      </c>
      <c r="BC70" s="3">
        <v>0</v>
      </c>
      <c r="BD70" s="3">
        <v>0</v>
      </c>
      <c r="BE70" s="54">
        <v>1</v>
      </c>
      <c r="BF70" s="54">
        <v>0</v>
      </c>
      <c r="BG70" s="54">
        <v>1</v>
      </c>
      <c r="BH70" s="54">
        <v>0</v>
      </c>
      <c r="BI70" s="3">
        <v>-1</v>
      </c>
    </row>
    <row r="71" spans="1:61" ht="18" x14ac:dyDescent="0.35">
      <c r="A71" s="53" t="s">
        <v>240</v>
      </c>
      <c r="B71" s="59" t="s">
        <v>264</v>
      </c>
      <c r="C71" s="19" t="s">
        <v>234</v>
      </c>
      <c r="D71" s="59" t="s">
        <v>265</v>
      </c>
      <c r="E71" s="60" t="s">
        <v>423</v>
      </c>
      <c r="F71" s="59" t="s">
        <v>283</v>
      </c>
      <c r="G71" s="54">
        <v>1</v>
      </c>
      <c r="H71" s="3">
        <v>10</v>
      </c>
      <c r="I71" s="3">
        <v>0</v>
      </c>
      <c r="J71" s="55">
        <v>44664.291655092602</v>
      </c>
      <c r="K71" s="55"/>
      <c r="L71" s="55"/>
      <c r="M71" s="55" t="s">
        <v>73</v>
      </c>
      <c r="N71" s="61" t="s">
        <v>69</v>
      </c>
      <c r="O71" s="61">
        <v>0</v>
      </c>
      <c r="P71" s="54">
        <v>0</v>
      </c>
      <c r="Q71" s="3">
        <v>80436</v>
      </c>
      <c r="R71" s="57">
        <v>44637.778402777803</v>
      </c>
      <c r="S71" s="57">
        <v>44716.992835648103</v>
      </c>
      <c r="T71" s="58" t="s">
        <v>424</v>
      </c>
      <c r="U71" s="58" t="s">
        <v>425</v>
      </c>
      <c r="V71" s="67">
        <v>91315</v>
      </c>
      <c r="W71" s="54">
        <v>0</v>
      </c>
      <c r="X71" s="3">
        <v>255</v>
      </c>
      <c r="Y71" s="54">
        <v>0</v>
      </c>
      <c r="Z71" s="54">
        <v>0</v>
      </c>
      <c r="AA71" s="54">
        <v>0</v>
      </c>
      <c r="AB71" s="54">
        <v>0</v>
      </c>
      <c r="AC71" s="54">
        <v>0</v>
      </c>
      <c r="AD71" s="3">
        <v>0</v>
      </c>
      <c r="AE71" s="57"/>
      <c r="AF71" s="54">
        <v>0</v>
      </c>
      <c r="AG71" s="3">
        <v>0</v>
      </c>
      <c r="AH71" s="3">
        <v>4</v>
      </c>
      <c r="AI71" s="54">
        <v>0</v>
      </c>
      <c r="AL71" s="54">
        <v>1</v>
      </c>
      <c r="AM71" s="54">
        <v>1</v>
      </c>
      <c r="AN71" s="3">
        <v>0</v>
      </c>
      <c r="AO71" s="54">
        <v>0</v>
      </c>
      <c r="AP71" s="54">
        <v>0</v>
      </c>
      <c r="AQ71" s="54">
        <v>0</v>
      </c>
      <c r="AR71" s="3" t="s">
        <v>270</v>
      </c>
      <c r="AS71" s="3">
        <v>0</v>
      </c>
      <c r="AT71" s="54">
        <v>0</v>
      </c>
      <c r="AU71" s="54">
        <v>0</v>
      </c>
      <c r="AV71" s="54">
        <v>0</v>
      </c>
      <c r="AW71" s="3" t="s">
        <v>270</v>
      </c>
      <c r="AX71" s="54">
        <v>0</v>
      </c>
      <c r="BA71" s="54">
        <v>0</v>
      </c>
      <c r="BB71" s="54">
        <v>0</v>
      </c>
      <c r="BC71" s="3">
        <v>0</v>
      </c>
      <c r="BD71" s="3">
        <v>0</v>
      </c>
      <c r="BE71" s="54">
        <v>1</v>
      </c>
      <c r="BF71" s="54">
        <v>0</v>
      </c>
      <c r="BG71" s="54">
        <v>1</v>
      </c>
      <c r="BH71" s="54">
        <v>0</v>
      </c>
      <c r="BI71" s="3">
        <v>-1</v>
      </c>
    </row>
    <row r="72" spans="1:61" ht="18" x14ac:dyDescent="0.35">
      <c r="A72" s="53" t="s">
        <v>240</v>
      </c>
      <c r="B72" s="59" t="s">
        <v>264</v>
      </c>
      <c r="C72" s="19" t="s">
        <v>234</v>
      </c>
      <c r="D72" s="59" t="s">
        <v>265</v>
      </c>
      <c r="E72" s="60" t="s">
        <v>426</v>
      </c>
      <c r="F72" s="59" t="s">
        <v>287</v>
      </c>
      <c r="G72" s="54">
        <v>1</v>
      </c>
      <c r="H72" s="3">
        <v>10</v>
      </c>
      <c r="I72" s="3">
        <v>0</v>
      </c>
      <c r="J72" s="55">
        <v>44670.291655092602</v>
      </c>
      <c r="K72" s="55"/>
      <c r="L72" s="55"/>
      <c r="M72" s="55" t="s">
        <v>73</v>
      </c>
      <c r="N72" s="61" t="s">
        <v>69</v>
      </c>
      <c r="O72" s="61">
        <v>0</v>
      </c>
      <c r="P72" s="54">
        <v>0</v>
      </c>
      <c r="Q72" s="3">
        <v>80436</v>
      </c>
      <c r="R72" s="57">
        <v>44637.778414351902</v>
      </c>
      <c r="S72" s="57">
        <v>44716.992835648103</v>
      </c>
      <c r="T72" s="58" t="s">
        <v>427</v>
      </c>
      <c r="U72" s="58" t="s">
        <v>428</v>
      </c>
      <c r="V72" s="67">
        <v>91315</v>
      </c>
      <c r="W72" s="54">
        <v>0</v>
      </c>
      <c r="X72" s="3">
        <v>255</v>
      </c>
      <c r="Y72" s="54">
        <v>0</v>
      </c>
      <c r="Z72" s="54">
        <v>0</v>
      </c>
      <c r="AA72" s="54">
        <v>0</v>
      </c>
      <c r="AB72" s="54">
        <v>0</v>
      </c>
      <c r="AC72" s="54">
        <v>0</v>
      </c>
      <c r="AD72" s="3">
        <v>0</v>
      </c>
      <c r="AE72" s="57"/>
      <c r="AF72" s="54">
        <v>0</v>
      </c>
      <c r="AG72" s="3">
        <v>0</v>
      </c>
      <c r="AH72" s="3">
        <v>5</v>
      </c>
      <c r="AI72" s="54">
        <v>0</v>
      </c>
      <c r="AL72" s="54">
        <v>1</v>
      </c>
      <c r="AM72" s="54">
        <v>1</v>
      </c>
      <c r="AN72" s="3">
        <v>0</v>
      </c>
      <c r="AO72" s="54">
        <v>0</v>
      </c>
      <c r="AP72" s="54">
        <v>0</v>
      </c>
      <c r="AQ72" s="54">
        <v>0</v>
      </c>
      <c r="AR72" s="3" t="s">
        <v>270</v>
      </c>
      <c r="AS72" s="3">
        <v>0</v>
      </c>
      <c r="AT72" s="54">
        <v>0</v>
      </c>
      <c r="AU72" s="54">
        <v>0</v>
      </c>
      <c r="AV72" s="54">
        <v>0</v>
      </c>
      <c r="AW72" s="3" t="s">
        <v>270</v>
      </c>
      <c r="AX72" s="54">
        <v>0</v>
      </c>
      <c r="BA72" s="54">
        <v>0</v>
      </c>
      <c r="BB72" s="54">
        <v>0</v>
      </c>
      <c r="BC72" s="3">
        <v>0</v>
      </c>
      <c r="BD72" s="3">
        <v>0</v>
      </c>
      <c r="BE72" s="54">
        <v>1</v>
      </c>
      <c r="BF72" s="54">
        <v>0</v>
      </c>
      <c r="BG72" s="54">
        <v>1</v>
      </c>
      <c r="BH72" s="54">
        <v>0</v>
      </c>
      <c r="BI72" s="3">
        <v>-1</v>
      </c>
    </row>
    <row r="73" spans="1:61" ht="18" x14ac:dyDescent="0.35">
      <c r="A73" s="53" t="s">
        <v>240</v>
      </c>
      <c r="B73" s="59" t="s">
        <v>264</v>
      </c>
      <c r="C73" s="19" t="s">
        <v>234</v>
      </c>
      <c r="D73" s="59" t="s">
        <v>265</v>
      </c>
      <c r="E73" s="60" t="s">
        <v>429</v>
      </c>
      <c r="F73" s="59" t="s">
        <v>291</v>
      </c>
      <c r="G73" s="54">
        <v>1</v>
      </c>
      <c r="H73" s="3">
        <v>12</v>
      </c>
      <c r="I73" s="3">
        <v>339</v>
      </c>
      <c r="J73" s="55">
        <v>44674.291655092602</v>
      </c>
      <c r="K73" s="55"/>
      <c r="L73" s="55"/>
      <c r="M73" s="55" t="s">
        <v>77</v>
      </c>
      <c r="N73" s="61" t="s">
        <v>69</v>
      </c>
      <c r="O73" s="61">
        <v>0</v>
      </c>
      <c r="P73" s="54">
        <v>0</v>
      </c>
      <c r="Q73" s="3">
        <v>80436</v>
      </c>
      <c r="R73" s="57">
        <v>44637.778391203698</v>
      </c>
      <c r="S73" s="57">
        <v>44716.992881944403</v>
      </c>
      <c r="T73" s="58" t="s">
        <v>430</v>
      </c>
      <c r="U73" s="58" t="s">
        <v>431</v>
      </c>
      <c r="V73" s="67">
        <v>91315</v>
      </c>
      <c r="W73" s="54">
        <v>0</v>
      </c>
      <c r="X73" s="3">
        <v>255</v>
      </c>
      <c r="Y73" s="54">
        <v>0</v>
      </c>
      <c r="Z73" s="54">
        <v>0</v>
      </c>
      <c r="AA73" s="54">
        <v>0</v>
      </c>
      <c r="AB73" s="54">
        <v>0</v>
      </c>
      <c r="AC73" s="54">
        <v>0</v>
      </c>
      <c r="AD73" s="3">
        <v>0</v>
      </c>
      <c r="AE73" s="57"/>
      <c r="AF73" s="54">
        <v>0</v>
      </c>
      <c r="AG73" s="3">
        <v>0</v>
      </c>
      <c r="AH73" s="3">
        <v>6</v>
      </c>
      <c r="AI73" s="54">
        <v>0</v>
      </c>
      <c r="AL73" s="54">
        <v>1</v>
      </c>
      <c r="AM73" s="54">
        <v>1</v>
      </c>
      <c r="AN73" s="3">
        <v>0</v>
      </c>
      <c r="AO73" s="54">
        <v>0</v>
      </c>
      <c r="AP73" s="54">
        <v>0</v>
      </c>
      <c r="AQ73" s="54">
        <v>0</v>
      </c>
      <c r="AR73" s="3" t="s">
        <v>270</v>
      </c>
      <c r="AS73" s="3">
        <v>96266</v>
      </c>
      <c r="AT73" s="54">
        <v>0</v>
      </c>
      <c r="AU73" s="54">
        <v>0</v>
      </c>
      <c r="AV73" s="54">
        <v>0</v>
      </c>
      <c r="AW73" s="3" t="s">
        <v>270</v>
      </c>
      <c r="AX73" s="54">
        <v>0</v>
      </c>
      <c r="BA73" s="54">
        <v>0</v>
      </c>
      <c r="BB73" s="54">
        <v>0</v>
      </c>
      <c r="BC73" s="3">
        <v>0</v>
      </c>
      <c r="BD73" s="3">
        <v>0</v>
      </c>
      <c r="BE73" s="54">
        <v>1</v>
      </c>
      <c r="BF73" s="54">
        <v>0</v>
      </c>
      <c r="BG73" s="54">
        <v>1</v>
      </c>
      <c r="BH73" s="54">
        <v>0</v>
      </c>
      <c r="BI73" s="3">
        <v>-1</v>
      </c>
    </row>
    <row r="74" spans="1:61" ht="18" x14ac:dyDescent="0.35">
      <c r="A74" s="53" t="s">
        <v>240</v>
      </c>
      <c r="B74" s="59" t="s">
        <v>264</v>
      </c>
      <c r="C74" s="19" t="s">
        <v>234</v>
      </c>
      <c r="D74" s="59" t="s">
        <v>265</v>
      </c>
      <c r="E74" s="60" t="s">
        <v>432</v>
      </c>
      <c r="F74" s="59" t="s">
        <v>295</v>
      </c>
      <c r="G74" s="54">
        <v>1</v>
      </c>
      <c r="H74" s="3">
        <v>14</v>
      </c>
      <c r="I74" s="3">
        <v>0</v>
      </c>
      <c r="J74" s="55">
        <v>44681.291655092602</v>
      </c>
      <c r="K74" s="55"/>
      <c r="L74" s="55"/>
      <c r="M74" s="55" t="s">
        <v>73</v>
      </c>
      <c r="N74" s="61" t="s">
        <v>69</v>
      </c>
      <c r="O74" s="61">
        <v>0</v>
      </c>
      <c r="P74" s="54">
        <v>0</v>
      </c>
      <c r="Q74" s="3">
        <v>80436</v>
      </c>
      <c r="R74" s="57">
        <v>44651.6870486111</v>
      </c>
      <c r="S74" s="57">
        <v>44716.992835648103</v>
      </c>
      <c r="T74" s="58" t="s">
        <v>433</v>
      </c>
      <c r="U74" s="58" t="s">
        <v>434</v>
      </c>
      <c r="V74" s="67">
        <v>91315</v>
      </c>
      <c r="W74" s="54">
        <v>0</v>
      </c>
      <c r="X74" s="3">
        <v>255</v>
      </c>
      <c r="Y74" s="54">
        <v>0</v>
      </c>
      <c r="Z74" s="54">
        <v>0</v>
      </c>
      <c r="AA74" s="54">
        <v>0</v>
      </c>
      <c r="AB74" s="54">
        <v>0</v>
      </c>
      <c r="AC74" s="54">
        <v>0</v>
      </c>
      <c r="AD74" s="3">
        <v>0</v>
      </c>
      <c r="AE74" s="57"/>
      <c r="AF74" s="54">
        <v>0</v>
      </c>
      <c r="AG74" s="3">
        <v>0</v>
      </c>
      <c r="AH74" s="3">
        <v>8</v>
      </c>
      <c r="AI74" s="54">
        <v>0</v>
      </c>
      <c r="AL74" s="54">
        <v>1</v>
      </c>
      <c r="AM74" s="54">
        <v>1</v>
      </c>
      <c r="AN74" s="3">
        <v>0</v>
      </c>
      <c r="AO74" s="54">
        <v>0</v>
      </c>
      <c r="AP74" s="54">
        <v>0</v>
      </c>
      <c r="AQ74" s="54">
        <v>0</v>
      </c>
      <c r="AR74" s="3" t="s">
        <v>270</v>
      </c>
      <c r="AS74" s="3">
        <v>0</v>
      </c>
      <c r="AT74" s="54">
        <v>0</v>
      </c>
      <c r="AU74" s="54">
        <v>0</v>
      </c>
      <c r="AV74" s="54">
        <v>0</v>
      </c>
      <c r="AW74" s="3" t="s">
        <v>270</v>
      </c>
      <c r="AX74" s="54">
        <v>0</v>
      </c>
      <c r="BA74" s="54">
        <v>0</v>
      </c>
      <c r="BB74" s="54">
        <v>0</v>
      </c>
      <c r="BC74" s="3">
        <v>0</v>
      </c>
      <c r="BD74" s="3">
        <v>0</v>
      </c>
      <c r="BE74" s="54">
        <v>1</v>
      </c>
      <c r="BF74" s="54">
        <v>0</v>
      </c>
      <c r="BG74" s="54">
        <v>1</v>
      </c>
      <c r="BH74" s="54">
        <v>0</v>
      </c>
      <c r="BI74" s="3">
        <v>-1</v>
      </c>
    </row>
    <row r="75" spans="1:61" ht="18" x14ac:dyDescent="0.35">
      <c r="A75" s="53" t="s">
        <v>240</v>
      </c>
      <c r="B75" s="59" t="s">
        <v>264</v>
      </c>
      <c r="C75" s="19" t="s">
        <v>234</v>
      </c>
      <c r="D75" s="59" t="s">
        <v>265</v>
      </c>
      <c r="E75" s="60" t="s">
        <v>435</v>
      </c>
      <c r="F75" s="59" t="s">
        <v>299</v>
      </c>
      <c r="G75" s="54">
        <v>1</v>
      </c>
      <c r="H75" s="3">
        <v>10</v>
      </c>
      <c r="I75" s="3">
        <v>0</v>
      </c>
      <c r="J75" s="55">
        <v>44686.291655092602</v>
      </c>
      <c r="K75" s="55"/>
      <c r="L75" s="55"/>
      <c r="M75" s="55" t="s">
        <v>73</v>
      </c>
      <c r="N75" s="61" t="s">
        <v>69</v>
      </c>
      <c r="O75" s="61">
        <v>0</v>
      </c>
      <c r="P75" s="54">
        <v>0</v>
      </c>
      <c r="Q75" s="3">
        <v>80436</v>
      </c>
      <c r="R75" s="57">
        <v>44651.687060185199</v>
      </c>
      <c r="S75" s="57">
        <v>44716.992847222202</v>
      </c>
      <c r="T75" s="58" t="s">
        <v>436</v>
      </c>
      <c r="U75" s="58" t="s">
        <v>437</v>
      </c>
      <c r="V75" s="67">
        <v>91315</v>
      </c>
      <c r="W75" s="54">
        <v>0</v>
      </c>
      <c r="X75" s="3">
        <v>255</v>
      </c>
      <c r="Y75" s="54">
        <v>0</v>
      </c>
      <c r="Z75" s="54">
        <v>0</v>
      </c>
      <c r="AA75" s="54">
        <v>0</v>
      </c>
      <c r="AB75" s="54">
        <v>0</v>
      </c>
      <c r="AC75" s="54">
        <v>0</v>
      </c>
      <c r="AD75" s="3">
        <v>0</v>
      </c>
      <c r="AE75" s="57"/>
      <c r="AF75" s="54">
        <v>0</v>
      </c>
      <c r="AG75" s="3">
        <v>0</v>
      </c>
      <c r="AH75" s="3">
        <v>9</v>
      </c>
      <c r="AI75" s="54">
        <v>0</v>
      </c>
      <c r="AL75" s="54">
        <v>1</v>
      </c>
      <c r="AM75" s="54">
        <v>1</v>
      </c>
      <c r="AN75" s="3">
        <v>0</v>
      </c>
      <c r="AO75" s="54">
        <v>0</v>
      </c>
      <c r="AP75" s="54">
        <v>0</v>
      </c>
      <c r="AQ75" s="54">
        <v>0</v>
      </c>
      <c r="AR75" s="3" t="s">
        <v>270</v>
      </c>
      <c r="AS75" s="3">
        <v>0</v>
      </c>
      <c r="AT75" s="54">
        <v>0</v>
      </c>
      <c r="AU75" s="54">
        <v>0</v>
      </c>
      <c r="AV75" s="54">
        <v>0</v>
      </c>
      <c r="AW75" s="3" t="s">
        <v>270</v>
      </c>
      <c r="AX75" s="54">
        <v>0</v>
      </c>
      <c r="BA75" s="54">
        <v>0</v>
      </c>
      <c r="BB75" s="54">
        <v>0</v>
      </c>
      <c r="BC75" s="3">
        <v>0</v>
      </c>
      <c r="BD75" s="3">
        <v>0</v>
      </c>
      <c r="BE75" s="54">
        <v>1</v>
      </c>
      <c r="BF75" s="54">
        <v>0</v>
      </c>
      <c r="BG75" s="54">
        <v>1</v>
      </c>
      <c r="BH75" s="54">
        <v>0</v>
      </c>
      <c r="BI75" s="3">
        <v>-1</v>
      </c>
    </row>
    <row r="76" spans="1:61" ht="18" x14ac:dyDescent="0.35">
      <c r="A76" s="53" t="s">
        <v>240</v>
      </c>
      <c r="B76" s="59" t="s">
        <v>264</v>
      </c>
      <c r="C76" s="19" t="s">
        <v>234</v>
      </c>
      <c r="D76" s="59" t="s">
        <v>265</v>
      </c>
      <c r="E76" s="60" t="s">
        <v>438</v>
      </c>
      <c r="F76" s="59" t="s">
        <v>303</v>
      </c>
      <c r="G76" s="54">
        <v>1</v>
      </c>
      <c r="H76" s="3">
        <v>10</v>
      </c>
      <c r="I76" s="3">
        <v>0</v>
      </c>
      <c r="J76" s="55">
        <v>44688.291655092602</v>
      </c>
      <c r="K76" s="55"/>
      <c r="L76" s="55"/>
      <c r="M76" s="55" t="s">
        <v>73</v>
      </c>
      <c r="N76" s="61" t="s">
        <v>69</v>
      </c>
      <c r="O76" s="61">
        <v>0</v>
      </c>
      <c r="P76" s="54">
        <v>0</v>
      </c>
      <c r="Q76" s="3">
        <v>80436</v>
      </c>
      <c r="R76" s="57">
        <v>44651.687071759297</v>
      </c>
      <c r="S76" s="57">
        <v>44716.992847222202</v>
      </c>
      <c r="T76" s="58" t="s">
        <v>439</v>
      </c>
      <c r="U76" s="58" t="s">
        <v>440</v>
      </c>
      <c r="V76" s="67">
        <v>91315</v>
      </c>
      <c r="W76" s="54">
        <v>0</v>
      </c>
      <c r="X76" s="3">
        <v>255</v>
      </c>
      <c r="Y76" s="54">
        <v>0</v>
      </c>
      <c r="Z76" s="54">
        <v>0</v>
      </c>
      <c r="AA76" s="54">
        <v>0</v>
      </c>
      <c r="AB76" s="54">
        <v>0</v>
      </c>
      <c r="AC76" s="54">
        <v>0</v>
      </c>
      <c r="AD76" s="3">
        <v>0</v>
      </c>
      <c r="AE76" s="57"/>
      <c r="AF76" s="54">
        <v>0</v>
      </c>
      <c r="AG76" s="3">
        <v>0</v>
      </c>
      <c r="AH76" s="3">
        <v>10</v>
      </c>
      <c r="AI76" s="54">
        <v>0</v>
      </c>
      <c r="AL76" s="54">
        <v>1</v>
      </c>
      <c r="AM76" s="54">
        <v>1</v>
      </c>
      <c r="AN76" s="3">
        <v>0</v>
      </c>
      <c r="AO76" s="54">
        <v>0</v>
      </c>
      <c r="AP76" s="54">
        <v>0</v>
      </c>
      <c r="AQ76" s="54">
        <v>0</v>
      </c>
      <c r="AR76" s="3" t="s">
        <v>270</v>
      </c>
      <c r="AS76" s="3">
        <v>0</v>
      </c>
      <c r="AT76" s="54">
        <v>0</v>
      </c>
      <c r="AU76" s="54">
        <v>0</v>
      </c>
      <c r="AV76" s="54">
        <v>0</v>
      </c>
      <c r="AW76" s="3" t="s">
        <v>270</v>
      </c>
      <c r="AX76" s="54">
        <v>0</v>
      </c>
      <c r="BA76" s="54">
        <v>0</v>
      </c>
      <c r="BB76" s="54">
        <v>0</v>
      </c>
      <c r="BC76" s="3">
        <v>0</v>
      </c>
      <c r="BD76" s="3">
        <v>0</v>
      </c>
      <c r="BE76" s="54">
        <v>1</v>
      </c>
      <c r="BF76" s="54">
        <v>0</v>
      </c>
      <c r="BG76" s="54">
        <v>1</v>
      </c>
      <c r="BH76" s="54">
        <v>0</v>
      </c>
      <c r="BI76" s="3">
        <v>-1</v>
      </c>
    </row>
    <row r="77" spans="1:61" ht="18" x14ac:dyDescent="0.35">
      <c r="A77" s="53" t="s">
        <v>240</v>
      </c>
      <c r="B77" s="59" t="s">
        <v>264</v>
      </c>
      <c r="C77" s="19" t="s">
        <v>234</v>
      </c>
      <c r="D77" s="59" t="s">
        <v>265</v>
      </c>
      <c r="E77" s="60" t="s">
        <v>441</v>
      </c>
      <c r="F77" s="59" t="s">
        <v>307</v>
      </c>
      <c r="G77" s="54">
        <v>1</v>
      </c>
      <c r="H77" s="3">
        <v>10</v>
      </c>
      <c r="I77" s="3">
        <v>0</v>
      </c>
      <c r="J77" s="55">
        <v>44695.291655092602</v>
      </c>
      <c r="K77" s="55"/>
      <c r="L77" s="55"/>
      <c r="M77" s="55" t="s">
        <v>73</v>
      </c>
      <c r="N77" s="61" t="s">
        <v>69</v>
      </c>
      <c r="O77" s="61">
        <v>0</v>
      </c>
      <c r="P77" s="54">
        <v>0</v>
      </c>
      <c r="Q77" s="3">
        <v>80436</v>
      </c>
      <c r="R77" s="57">
        <v>44651.687071759297</v>
      </c>
      <c r="S77" s="57">
        <v>44716.9928587963</v>
      </c>
      <c r="T77" s="58" t="s">
        <v>442</v>
      </c>
      <c r="U77" s="58" t="s">
        <v>443</v>
      </c>
      <c r="V77" s="67">
        <v>91315</v>
      </c>
      <c r="W77" s="54">
        <v>0</v>
      </c>
      <c r="X77" s="3">
        <v>255</v>
      </c>
      <c r="Y77" s="54">
        <v>0</v>
      </c>
      <c r="Z77" s="54">
        <v>0</v>
      </c>
      <c r="AA77" s="54">
        <v>0</v>
      </c>
      <c r="AB77" s="54">
        <v>0</v>
      </c>
      <c r="AC77" s="54">
        <v>0</v>
      </c>
      <c r="AD77" s="3">
        <v>0</v>
      </c>
      <c r="AE77" s="57"/>
      <c r="AF77" s="54">
        <v>0</v>
      </c>
      <c r="AG77" s="3">
        <v>0</v>
      </c>
      <c r="AH77" s="3">
        <v>11</v>
      </c>
      <c r="AI77" s="54">
        <v>0</v>
      </c>
      <c r="AL77" s="54">
        <v>1</v>
      </c>
      <c r="AM77" s="54">
        <v>1</v>
      </c>
      <c r="AN77" s="3">
        <v>0</v>
      </c>
      <c r="AO77" s="54">
        <v>0</v>
      </c>
      <c r="AP77" s="54">
        <v>0</v>
      </c>
      <c r="AQ77" s="54">
        <v>0</v>
      </c>
      <c r="AR77" s="3" t="s">
        <v>270</v>
      </c>
      <c r="AS77" s="3">
        <v>0</v>
      </c>
      <c r="AT77" s="54">
        <v>0</v>
      </c>
      <c r="AU77" s="54">
        <v>0</v>
      </c>
      <c r="AV77" s="54">
        <v>0</v>
      </c>
      <c r="AW77" s="3" t="s">
        <v>270</v>
      </c>
      <c r="AX77" s="54">
        <v>0</v>
      </c>
      <c r="BA77" s="54">
        <v>0</v>
      </c>
      <c r="BB77" s="54">
        <v>0</v>
      </c>
      <c r="BC77" s="3">
        <v>0</v>
      </c>
      <c r="BD77" s="3">
        <v>0</v>
      </c>
      <c r="BE77" s="54">
        <v>1</v>
      </c>
      <c r="BF77" s="54">
        <v>0</v>
      </c>
      <c r="BG77" s="54">
        <v>1</v>
      </c>
      <c r="BH77" s="54">
        <v>0</v>
      </c>
      <c r="BI77" s="3">
        <v>-1</v>
      </c>
    </row>
    <row r="78" spans="1:61" ht="18" x14ac:dyDescent="0.35">
      <c r="A78" s="53" t="s">
        <v>240</v>
      </c>
      <c r="B78" s="59" t="s">
        <v>264</v>
      </c>
      <c r="C78" s="19" t="s">
        <v>234</v>
      </c>
      <c r="D78" s="59" t="s">
        <v>265</v>
      </c>
      <c r="E78" s="60" t="s">
        <v>444</v>
      </c>
      <c r="F78" s="59" t="s">
        <v>311</v>
      </c>
      <c r="G78" s="54">
        <v>1</v>
      </c>
      <c r="H78" s="3">
        <v>10</v>
      </c>
      <c r="I78" s="3">
        <v>0</v>
      </c>
      <c r="J78" s="55">
        <v>44702.291655092602</v>
      </c>
      <c r="K78" s="55"/>
      <c r="L78" s="55"/>
      <c r="M78" s="55" t="s">
        <v>73</v>
      </c>
      <c r="N78" s="61" t="s">
        <v>69</v>
      </c>
      <c r="O78" s="61">
        <v>0</v>
      </c>
      <c r="P78" s="54">
        <v>0</v>
      </c>
      <c r="Q78" s="3">
        <v>80436</v>
      </c>
      <c r="R78" s="57">
        <v>44651.687083333301</v>
      </c>
      <c r="S78" s="57">
        <v>44716.9928587963</v>
      </c>
      <c r="T78" s="58" t="s">
        <v>445</v>
      </c>
      <c r="U78" s="58" t="s">
        <v>446</v>
      </c>
      <c r="V78" s="67">
        <v>91315</v>
      </c>
      <c r="W78" s="54">
        <v>0</v>
      </c>
      <c r="X78" s="3">
        <v>255</v>
      </c>
      <c r="Y78" s="54">
        <v>0</v>
      </c>
      <c r="Z78" s="54">
        <v>0</v>
      </c>
      <c r="AA78" s="54">
        <v>0</v>
      </c>
      <c r="AB78" s="54">
        <v>0</v>
      </c>
      <c r="AC78" s="54">
        <v>0</v>
      </c>
      <c r="AD78" s="3">
        <v>0</v>
      </c>
      <c r="AE78" s="57"/>
      <c r="AF78" s="54">
        <v>0</v>
      </c>
      <c r="AG78" s="3">
        <v>0</v>
      </c>
      <c r="AH78" s="3">
        <v>12</v>
      </c>
      <c r="AI78" s="54">
        <v>0</v>
      </c>
      <c r="AL78" s="54">
        <v>1</v>
      </c>
      <c r="AM78" s="54">
        <v>1</v>
      </c>
      <c r="AN78" s="3">
        <v>0</v>
      </c>
      <c r="AO78" s="54">
        <v>0</v>
      </c>
      <c r="AP78" s="54">
        <v>0</v>
      </c>
      <c r="AQ78" s="54">
        <v>0</v>
      </c>
      <c r="AR78" s="3" t="s">
        <v>270</v>
      </c>
      <c r="AS78" s="3">
        <v>0</v>
      </c>
      <c r="AT78" s="54">
        <v>0</v>
      </c>
      <c r="AU78" s="54">
        <v>0</v>
      </c>
      <c r="AV78" s="54">
        <v>0</v>
      </c>
      <c r="AW78" s="3" t="s">
        <v>270</v>
      </c>
      <c r="AX78" s="54">
        <v>0</v>
      </c>
      <c r="BA78" s="54">
        <v>0</v>
      </c>
      <c r="BB78" s="54">
        <v>0</v>
      </c>
      <c r="BC78" s="3">
        <v>0</v>
      </c>
      <c r="BD78" s="3">
        <v>0</v>
      </c>
      <c r="BE78" s="54">
        <v>1</v>
      </c>
      <c r="BF78" s="54">
        <v>0</v>
      </c>
      <c r="BG78" s="54">
        <v>1</v>
      </c>
      <c r="BH78" s="54">
        <v>0</v>
      </c>
      <c r="BI78" s="3">
        <v>-1</v>
      </c>
    </row>
    <row r="79" spans="1:61" ht="18" x14ac:dyDescent="0.35">
      <c r="A79" s="53" t="s">
        <v>240</v>
      </c>
      <c r="B79" s="59" t="s">
        <v>264</v>
      </c>
      <c r="C79" s="19" t="s">
        <v>234</v>
      </c>
      <c r="D79" s="59" t="s">
        <v>265</v>
      </c>
      <c r="E79" s="60" t="s">
        <v>478</v>
      </c>
      <c r="F79" s="59" t="s">
        <v>315</v>
      </c>
      <c r="G79" s="54">
        <v>1</v>
      </c>
      <c r="H79" s="3">
        <v>10</v>
      </c>
      <c r="I79" s="3">
        <v>0</v>
      </c>
      <c r="J79" s="55">
        <v>44709.291655092602</v>
      </c>
      <c r="K79" s="55"/>
      <c r="L79" s="55"/>
      <c r="M79" s="55" t="s">
        <v>73</v>
      </c>
      <c r="N79" s="61" t="s">
        <v>69</v>
      </c>
      <c r="O79" s="61">
        <v>0</v>
      </c>
      <c r="P79" s="54">
        <v>0</v>
      </c>
      <c r="Q79" s="3">
        <v>80436</v>
      </c>
      <c r="R79" s="57">
        <v>44684.6558912037</v>
      </c>
      <c r="S79" s="57">
        <v>44716.9928587963</v>
      </c>
      <c r="T79" s="58" t="s">
        <v>479</v>
      </c>
      <c r="U79" s="58" t="s">
        <v>480</v>
      </c>
      <c r="V79" s="67">
        <v>91315</v>
      </c>
      <c r="W79" s="54">
        <v>0</v>
      </c>
      <c r="X79" s="3">
        <v>255</v>
      </c>
      <c r="Y79" s="54">
        <v>0</v>
      </c>
      <c r="Z79" s="54">
        <v>0</v>
      </c>
      <c r="AA79" s="54">
        <v>0</v>
      </c>
      <c r="AB79" s="54">
        <v>0</v>
      </c>
      <c r="AC79" s="54">
        <v>0</v>
      </c>
      <c r="AD79" s="3">
        <v>0</v>
      </c>
      <c r="AE79" s="57"/>
      <c r="AF79" s="54">
        <v>0</v>
      </c>
      <c r="AG79" s="3">
        <v>0</v>
      </c>
      <c r="AH79" s="3">
        <v>12</v>
      </c>
      <c r="AI79" s="54">
        <v>0</v>
      </c>
      <c r="AL79" s="54">
        <v>1</v>
      </c>
      <c r="AM79" s="54">
        <v>1</v>
      </c>
      <c r="AN79" s="3">
        <v>0</v>
      </c>
      <c r="AO79" s="54">
        <v>0</v>
      </c>
      <c r="AP79" s="54">
        <v>0</v>
      </c>
      <c r="AQ79" s="54">
        <v>0</v>
      </c>
      <c r="AR79" s="3" t="s">
        <v>270</v>
      </c>
      <c r="AS79" s="3">
        <v>0</v>
      </c>
      <c r="AT79" s="54">
        <v>0</v>
      </c>
      <c r="AU79" s="54">
        <v>0</v>
      </c>
      <c r="AV79" s="54">
        <v>0</v>
      </c>
      <c r="AW79" s="3" t="s">
        <v>270</v>
      </c>
      <c r="AX79" s="54">
        <v>0</v>
      </c>
      <c r="BA79" s="54">
        <v>0</v>
      </c>
      <c r="BB79" s="54">
        <v>0</v>
      </c>
      <c r="BC79" s="3">
        <v>0</v>
      </c>
      <c r="BD79" s="3">
        <v>0</v>
      </c>
      <c r="BE79" s="54">
        <v>1</v>
      </c>
      <c r="BF79" s="54">
        <v>0</v>
      </c>
      <c r="BG79" s="54">
        <v>1</v>
      </c>
      <c r="BH79" s="54">
        <v>0</v>
      </c>
      <c r="BI79" s="3">
        <v>-1</v>
      </c>
    </row>
    <row r="80" spans="1:61" ht="18" x14ac:dyDescent="0.35">
      <c r="A80" s="53" t="s">
        <v>240</v>
      </c>
      <c r="B80" s="59" t="s">
        <v>264</v>
      </c>
      <c r="C80" s="19" t="s">
        <v>234</v>
      </c>
      <c r="D80" s="59" t="s">
        <v>265</v>
      </c>
      <c r="E80" s="60" t="s">
        <v>519</v>
      </c>
      <c r="F80" s="59" t="s">
        <v>513</v>
      </c>
      <c r="G80" s="54">
        <v>1</v>
      </c>
      <c r="H80" s="3">
        <v>25</v>
      </c>
      <c r="I80" s="3">
        <v>106</v>
      </c>
      <c r="J80" s="55">
        <v>44709.291655092602</v>
      </c>
      <c r="K80" s="55"/>
      <c r="L80" s="55"/>
      <c r="M80" s="55" t="s">
        <v>90</v>
      </c>
      <c r="N80" s="61" t="s">
        <v>69</v>
      </c>
      <c r="O80" s="61">
        <v>4867</v>
      </c>
      <c r="P80" s="54">
        <v>0</v>
      </c>
      <c r="Q80" s="3">
        <v>80436</v>
      </c>
      <c r="R80" s="57">
        <v>44706.695601851898</v>
      </c>
      <c r="S80" s="57">
        <v>44722.945509259298</v>
      </c>
      <c r="T80" s="58" t="s">
        <v>520</v>
      </c>
      <c r="U80" s="58" t="s">
        <v>521</v>
      </c>
      <c r="V80" s="67">
        <v>91315</v>
      </c>
      <c r="W80" s="54">
        <v>0</v>
      </c>
      <c r="X80" s="3">
        <v>255</v>
      </c>
      <c r="Y80" s="54">
        <v>0</v>
      </c>
      <c r="Z80" s="54">
        <v>0</v>
      </c>
      <c r="AA80" s="54">
        <v>0</v>
      </c>
      <c r="AB80" s="54">
        <v>0</v>
      </c>
      <c r="AC80" s="54">
        <v>0</v>
      </c>
      <c r="AD80" s="3">
        <v>0</v>
      </c>
      <c r="AE80" s="57"/>
      <c r="AF80" s="54">
        <v>0</v>
      </c>
      <c r="AG80" s="3">
        <v>0</v>
      </c>
      <c r="AH80" s="3">
        <v>12</v>
      </c>
      <c r="AI80" s="54">
        <v>0</v>
      </c>
      <c r="AL80" s="54">
        <v>0</v>
      </c>
      <c r="AM80" s="54">
        <v>1</v>
      </c>
      <c r="AN80" s="3">
        <v>0</v>
      </c>
      <c r="AO80" s="54">
        <v>0</v>
      </c>
      <c r="AP80" s="54">
        <v>0</v>
      </c>
      <c r="AQ80" s="54">
        <v>0</v>
      </c>
      <c r="AR80" s="3" t="s">
        <v>270</v>
      </c>
      <c r="AS80" s="3">
        <v>0</v>
      </c>
      <c r="AT80" s="54">
        <v>0</v>
      </c>
      <c r="AU80" s="54">
        <v>0</v>
      </c>
      <c r="AV80" s="54">
        <v>0</v>
      </c>
      <c r="AW80" s="3" t="s">
        <v>270</v>
      </c>
      <c r="AX80" s="54">
        <v>0</v>
      </c>
      <c r="BA80" s="54">
        <v>0</v>
      </c>
      <c r="BB80" s="54">
        <v>0</v>
      </c>
      <c r="BC80" s="3">
        <v>0</v>
      </c>
      <c r="BD80" s="3">
        <v>0</v>
      </c>
      <c r="BE80" s="54">
        <v>1</v>
      </c>
      <c r="BF80" s="54">
        <v>0</v>
      </c>
      <c r="BG80" s="54">
        <v>1</v>
      </c>
      <c r="BH80" s="54">
        <v>0</v>
      </c>
      <c r="BI80" s="3">
        <v>-1</v>
      </c>
    </row>
    <row r="81" spans="1:61" ht="18" x14ac:dyDescent="0.35">
      <c r="A81" s="53" t="s">
        <v>240</v>
      </c>
      <c r="B81" s="59" t="s">
        <v>264</v>
      </c>
      <c r="C81" s="19" t="s">
        <v>234</v>
      </c>
      <c r="D81" s="59" t="s">
        <v>265</v>
      </c>
      <c r="E81" s="60" t="s">
        <v>481</v>
      </c>
      <c r="F81" s="59" t="s">
        <v>319</v>
      </c>
      <c r="G81" s="54">
        <v>1</v>
      </c>
      <c r="H81" s="3">
        <v>10</v>
      </c>
      <c r="I81" s="3">
        <v>0</v>
      </c>
      <c r="J81" s="55">
        <v>44713.291655092602</v>
      </c>
      <c r="K81" s="55"/>
      <c r="L81" s="55"/>
      <c r="M81" s="55" t="s">
        <v>73</v>
      </c>
      <c r="N81" s="61" t="s">
        <v>69</v>
      </c>
      <c r="O81" s="61">
        <v>0</v>
      </c>
      <c r="P81" s="54">
        <v>0</v>
      </c>
      <c r="Q81" s="3">
        <v>80436</v>
      </c>
      <c r="R81" s="57">
        <v>44684.655902777798</v>
      </c>
      <c r="S81" s="57">
        <v>44716.992870370399</v>
      </c>
      <c r="T81" s="58" t="s">
        <v>482</v>
      </c>
      <c r="U81" s="58" t="s">
        <v>483</v>
      </c>
      <c r="V81" s="67">
        <v>91315</v>
      </c>
      <c r="W81" s="54">
        <v>0</v>
      </c>
      <c r="X81" s="3">
        <v>255</v>
      </c>
      <c r="Y81" s="54">
        <v>0</v>
      </c>
      <c r="Z81" s="54">
        <v>0</v>
      </c>
      <c r="AA81" s="54">
        <v>0</v>
      </c>
      <c r="AB81" s="54">
        <v>0</v>
      </c>
      <c r="AC81" s="54">
        <v>0</v>
      </c>
      <c r="AD81" s="3">
        <v>0</v>
      </c>
      <c r="AE81" s="57"/>
      <c r="AF81" s="54">
        <v>0</v>
      </c>
      <c r="AG81" s="3">
        <v>0</v>
      </c>
      <c r="AH81" s="3">
        <v>13</v>
      </c>
      <c r="AI81" s="54">
        <v>0</v>
      </c>
      <c r="AL81" s="54">
        <v>1</v>
      </c>
      <c r="AM81" s="54">
        <v>1</v>
      </c>
      <c r="AN81" s="3">
        <v>0</v>
      </c>
      <c r="AO81" s="54">
        <v>0</v>
      </c>
      <c r="AP81" s="54">
        <v>0</v>
      </c>
      <c r="AQ81" s="54">
        <v>0</v>
      </c>
      <c r="AR81" s="3" t="s">
        <v>270</v>
      </c>
      <c r="AS81" s="3">
        <v>0</v>
      </c>
      <c r="AT81" s="54">
        <v>0</v>
      </c>
      <c r="AU81" s="54">
        <v>0</v>
      </c>
      <c r="AV81" s="54">
        <v>0</v>
      </c>
      <c r="AW81" s="3" t="s">
        <v>270</v>
      </c>
      <c r="AX81" s="54">
        <v>0</v>
      </c>
      <c r="BA81" s="54">
        <v>0</v>
      </c>
      <c r="BB81" s="54">
        <v>0</v>
      </c>
      <c r="BC81" s="3">
        <v>0</v>
      </c>
      <c r="BD81" s="3">
        <v>0</v>
      </c>
      <c r="BE81" s="54">
        <v>1</v>
      </c>
      <c r="BF81" s="54">
        <v>0</v>
      </c>
      <c r="BG81" s="54">
        <v>1</v>
      </c>
      <c r="BH81" s="54">
        <v>0</v>
      </c>
      <c r="BI81" s="3">
        <v>-1</v>
      </c>
    </row>
    <row r="82" spans="1:61" ht="18" x14ac:dyDescent="0.35">
      <c r="A82" s="53" t="s">
        <v>240</v>
      </c>
      <c r="B82" s="59" t="s">
        <v>264</v>
      </c>
      <c r="C82" s="19" t="s">
        <v>234</v>
      </c>
      <c r="D82" s="59" t="s">
        <v>265</v>
      </c>
      <c r="E82" s="60" t="s">
        <v>484</v>
      </c>
      <c r="F82" s="59" t="s">
        <v>323</v>
      </c>
      <c r="G82" s="54">
        <v>1</v>
      </c>
      <c r="H82" s="3">
        <v>10</v>
      </c>
      <c r="I82" s="3">
        <v>0</v>
      </c>
      <c r="J82" s="55">
        <v>44716.291655092602</v>
      </c>
      <c r="K82" s="55"/>
      <c r="L82" s="55"/>
      <c r="M82" s="55" t="s">
        <v>73</v>
      </c>
      <c r="N82" s="61" t="s">
        <v>69</v>
      </c>
      <c r="O82" s="61">
        <v>0</v>
      </c>
      <c r="P82" s="54">
        <v>0</v>
      </c>
      <c r="Q82" s="3">
        <v>80436</v>
      </c>
      <c r="R82" s="57">
        <v>44684.655914351897</v>
      </c>
      <c r="S82" s="57">
        <v>44716.992870370399</v>
      </c>
      <c r="T82" s="58" t="s">
        <v>485</v>
      </c>
      <c r="U82" s="58" t="s">
        <v>486</v>
      </c>
      <c r="V82" s="67">
        <v>91315</v>
      </c>
      <c r="W82" s="54">
        <v>0</v>
      </c>
      <c r="X82" s="3">
        <v>255</v>
      </c>
      <c r="Y82" s="54">
        <v>0</v>
      </c>
      <c r="Z82" s="54">
        <v>0</v>
      </c>
      <c r="AA82" s="54">
        <v>0</v>
      </c>
      <c r="AB82" s="54">
        <v>0</v>
      </c>
      <c r="AC82" s="54">
        <v>0</v>
      </c>
      <c r="AD82" s="3">
        <v>0</v>
      </c>
      <c r="AE82" s="57"/>
      <c r="AF82" s="54">
        <v>0</v>
      </c>
      <c r="AG82" s="3">
        <v>0</v>
      </c>
      <c r="AH82" s="3">
        <v>14</v>
      </c>
      <c r="AI82" s="54">
        <v>0</v>
      </c>
      <c r="AL82" s="54">
        <v>1</v>
      </c>
      <c r="AM82" s="54">
        <v>1</v>
      </c>
      <c r="AN82" s="3">
        <v>0</v>
      </c>
      <c r="AO82" s="54">
        <v>0</v>
      </c>
      <c r="AP82" s="54">
        <v>0</v>
      </c>
      <c r="AQ82" s="54">
        <v>0</v>
      </c>
      <c r="AR82" s="3" t="s">
        <v>270</v>
      </c>
      <c r="AS82" s="3">
        <v>0</v>
      </c>
      <c r="AT82" s="54">
        <v>0</v>
      </c>
      <c r="AU82" s="54">
        <v>0</v>
      </c>
      <c r="AV82" s="54">
        <v>0</v>
      </c>
      <c r="AW82" s="3" t="s">
        <v>270</v>
      </c>
      <c r="AX82" s="54">
        <v>0</v>
      </c>
      <c r="BA82" s="54">
        <v>0</v>
      </c>
      <c r="BB82" s="54">
        <v>0</v>
      </c>
      <c r="BC82" s="3">
        <v>0</v>
      </c>
      <c r="BD82" s="3">
        <v>0</v>
      </c>
      <c r="BE82" s="54">
        <v>1</v>
      </c>
      <c r="BF82" s="54">
        <v>0</v>
      </c>
      <c r="BG82" s="54">
        <v>1</v>
      </c>
      <c r="BH82" s="54">
        <v>0</v>
      </c>
      <c r="BI82" s="3">
        <v>-1</v>
      </c>
    </row>
    <row r="83" spans="1:61" ht="18" x14ac:dyDescent="0.35">
      <c r="A83" s="53" t="s">
        <v>240</v>
      </c>
      <c r="B83" s="59" t="s">
        <v>264</v>
      </c>
      <c r="C83" s="19" t="s">
        <v>234</v>
      </c>
      <c r="D83" s="59" t="s">
        <v>265</v>
      </c>
      <c r="E83" s="60" t="s">
        <v>487</v>
      </c>
      <c r="F83" s="59" t="s">
        <v>327</v>
      </c>
      <c r="G83" s="54">
        <v>1</v>
      </c>
      <c r="H83" s="3">
        <v>10</v>
      </c>
      <c r="I83" s="3">
        <v>0</v>
      </c>
      <c r="J83" s="55">
        <v>44723.291655092602</v>
      </c>
      <c r="K83" s="55"/>
      <c r="L83" s="55"/>
      <c r="M83" s="55" t="s">
        <v>73</v>
      </c>
      <c r="N83" s="61" t="s">
        <v>69</v>
      </c>
      <c r="O83" s="61">
        <v>0</v>
      </c>
      <c r="P83" s="54">
        <v>0</v>
      </c>
      <c r="Q83" s="3">
        <v>80436</v>
      </c>
      <c r="R83" s="57">
        <v>44684.655914351897</v>
      </c>
      <c r="S83" s="57">
        <v>44716.992881944403</v>
      </c>
      <c r="T83" s="58" t="s">
        <v>488</v>
      </c>
      <c r="U83" s="58" t="s">
        <v>489</v>
      </c>
      <c r="V83" s="67">
        <v>91315</v>
      </c>
      <c r="W83" s="54">
        <v>0</v>
      </c>
      <c r="X83" s="3">
        <v>255</v>
      </c>
      <c r="Y83" s="54">
        <v>0</v>
      </c>
      <c r="Z83" s="54">
        <v>0</v>
      </c>
      <c r="AA83" s="54">
        <v>0</v>
      </c>
      <c r="AB83" s="54">
        <v>0</v>
      </c>
      <c r="AC83" s="54">
        <v>0</v>
      </c>
      <c r="AD83" s="3">
        <v>0</v>
      </c>
      <c r="AE83" s="57"/>
      <c r="AF83" s="54">
        <v>0</v>
      </c>
      <c r="AG83" s="3">
        <v>0</v>
      </c>
      <c r="AH83" s="3">
        <v>15</v>
      </c>
      <c r="AI83" s="54">
        <v>0</v>
      </c>
      <c r="AL83" s="54">
        <v>1</v>
      </c>
      <c r="AM83" s="54">
        <v>1</v>
      </c>
      <c r="AN83" s="3">
        <v>0</v>
      </c>
      <c r="AO83" s="54">
        <v>0</v>
      </c>
      <c r="AP83" s="54">
        <v>0</v>
      </c>
      <c r="AQ83" s="54">
        <v>0</v>
      </c>
      <c r="AR83" s="3" t="s">
        <v>270</v>
      </c>
      <c r="AS83" s="3">
        <v>0</v>
      </c>
      <c r="AT83" s="54">
        <v>0</v>
      </c>
      <c r="AU83" s="54">
        <v>0</v>
      </c>
      <c r="AV83" s="54">
        <v>0</v>
      </c>
      <c r="AW83" s="3" t="s">
        <v>270</v>
      </c>
      <c r="AX83" s="54">
        <v>0</v>
      </c>
      <c r="BA83" s="54">
        <v>0</v>
      </c>
      <c r="BB83" s="54">
        <v>0</v>
      </c>
      <c r="BC83" s="3">
        <v>0</v>
      </c>
      <c r="BD83" s="3">
        <v>0</v>
      </c>
      <c r="BE83" s="54">
        <v>1</v>
      </c>
      <c r="BF83" s="54">
        <v>0</v>
      </c>
      <c r="BG83" s="54">
        <v>1</v>
      </c>
      <c r="BH83" s="54">
        <v>0</v>
      </c>
      <c r="BI83" s="3">
        <v>-1</v>
      </c>
    </row>
    <row r="84" spans="1:61" ht="18" x14ac:dyDescent="0.35">
      <c r="A84" s="53" t="s">
        <v>240</v>
      </c>
      <c r="B84" s="59" t="s">
        <v>264</v>
      </c>
      <c r="C84" s="19" t="s">
        <v>234</v>
      </c>
      <c r="D84" s="59" t="s">
        <v>265</v>
      </c>
      <c r="E84" s="60" t="s">
        <v>522</v>
      </c>
      <c r="F84" s="59" t="s">
        <v>275</v>
      </c>
      <c r="G84" s="54">
        <v>1</v>
      </c>
      <c r="H84" s="3">
        <v>10</v>
      </c>
      <c r="I84" s="3">
        <v>0</v>
      </c>
      <c r="J84" s="55"/>
      <c r="K84" s="55"/>
      <c r="L84" s="55"/>
      <c r="M84" s="55" t="s">
        <v>73</v>
      </c>
      <c r="N84" s="61" t="s">
        <v>69</v>
      </c>
      <c r="O84" s="61">
        <v>0</v>
      </c>
      <c r="P84" s="54">
        <v>0</v>
      </c>
      <c r="Q84" s="3">
        <v>80436</v>
      </c>
      <c r="R84" s="57">
        <v>44693.654687499999</v>
      </c>
      <c r="S84" s="57">
        <v>44693.654687499999</v>
      </c>
      <c r="T84" s="58" t="s">
        <v>523</v>
      </c>
      <c r="U84" s="58" t="s">
        <v>524</v>
      </c>
      <c r="V84" s="67">
        <v>91315</v>
      </c>
      <c r="W84" s="54">
        <v>0</v>
      </c>
      <c r="X84" s="3">
        <v>255</v>
      </c>
      <c r="Y84" s="54">
        <v>0</v>
      </c>
      <c r="Z84" s="54">
        <v>0</v>
      </c>
      <c r="AA84" s="54">
        <v>0</v>
      </c>
      <c r="AB84" s="54">
        <v>0</v>
      </c>
      <c r="AC84" s="54">
        <v>0</v>
      </c>
      <c r="AD84" s="3">
        <v>0</v>
      </c>
      <c r="AE84" s="57"/>
      <c r="AF84" s="54">
        <v>0</v>
      </c>
      <c r="AG84" s="3">
        <v>0</v>
      </c>
      <c r="AH84" s="3">
        <v>17</v>
      </c>
      <c r="AI84" s="54">
        <v>0</v>
      </c>
      <c r="AL84" s="54">
        <v>1</v>
      </c>
      <c r="AM84" s="54">
        <v>1</v>
      </c>
      <c r="AN84" s="3">
        <v>0</v>
      </c>
      <c r="AO84" s="54">
        <v>0</v>
      </c>
      <c r="AP84" s="54">
        <v>0</v>
      </c>
      <c r="AQ84" s="54">
        <v>0</v>
      </c>
      <c r="AR84" s="3" t="s">
        <v>270</v>
      </c>
      <c r="AS84" s="3">
        <v>0</v>
      </c>
      <c r="AT84" s="54">
        <v>0</v>
      </c>
      <c r="AU84" s="54">
        <v>0</v>
      </c>
      <c r="AV84" s="54">
        <v>0</v>
      </c>
      <c r="AW84" s="3" t="s">
        <v>270</v>
      </c>
      <c r="AX84" s="54">
        <v>0</v>
      </c>
      <c r="BA84" s="54">
        <v>0</v>
      </c>
      <c r="BB84" s="54">
        <v>0</v>
      </c>
      <c r="BC84" s="3">
        <v>0</v>
      </c>
      <c r="BD84" s="3">
        <v>0</v>
      </c>
      <c r="BE84" s="54">
        <v>1</v>
      </c>
      <c r="BF84" s="54">
        <v>0</v>
      </c>
      <c r="BG84" s="54">
        <v>1</v>
      </c>
      <c r="BH84" s="54">
        <v>0</v>
      </c>
      <c r="BI84" s="3">
        <v>-1</v>
      </c>
    </row>
    <row r="85" spans="1:61" ht="18" x14ac:dyDescent="0.35">
      <c r="A85" s="53" t="s">
        <v>240</v>
      </c>
      <c r="B85" s="59" t="s">
        <v>264</v>
      </c>
      <c r="C85" s="19" t="s">
        <v>234</v>
      </c>
      <c r="D85" s="59" t="s">
        <v>265</v>
      </c>
      <c r="E85" s="60" t="s">
        <v>529</v>
      </c>
      <c r="F85" s="59" t="s">
        <v>526</v>
      </c>
      <c r="G85" s="54">
        <v>1</v>
      </c>
      <c r="H85" s="3">
        <v>0</v>
      </c>
      <c r="I85" s="3">
        <v>55</v>
      </c>
      <c r="J85" s="55"/>
      <c r="K85" s="55"/>
      <c r="L85" s="55"/>
      <c r="M85" s="69" t="str">
        <f>{"online_url","media_recording","online_upload"}</f>
        <v>online_url</v>
      </c>
      <c r="N85" s="61" t="s">
        <v>69</v>
      </c>
      <c r="O85" s="61">
        <v>0</v>
      </c>
      <c r="P85" s="54">
        <v>0</v>
      </c>
      <c r="Q85" s="3">
        <v>80436</v>
      </c>
      <c r="R85" s="57">
        <v>44721.686099537001</v>
      </c>
      <c r="S85" s="57">
        <v>44721.686111111099</v>
      </c>
      <c r="T85" s="58" t="s">
        <v>530</v>
      </c>
      <c r="U85" s="58" t="s">
        <v>531</v>
      </c>
      <c r="V85" s="67">
        <v>96822</v>
      </c>
      <c r="W85" s="54">
        <v>0</v>
      </c>
      <c r="X85" s="3">
        <v>255</v>
      </c>
      <c r="Y85" s="54">
        <v>0</v>
      </c>
      <c r="Z85" s="54">
        <v>0</v>
      </c>
      <c r="AA85" s="54">
        <v>0</v>
      </c>
      <c r="AB85" s="54">
        <v>0</v>
      </c>
      <c r="AC85" s="54">
        <v>0</v>
      </c>
      <c r="AD85" s="3">
        <v>0</v>
      </c>
      <c r="AE85" s="57"/>
      <c r="AF85" s="54">
        <v>0</v>
      </c>
      <c r="AG85" s="3">
        <v>1</v>
      </c>
      <c r="AH85" s="3">
        <v>13</v>
      </c>
      <c r="AI85" s="54">
        <v>0</v>
      </c>
      <c r="AL85" s="54">
        <v>1</v>
      </c>
      <c r="AM85" s="54">
        <v>1</v>
      </c>
      <c r="AN85" s="3">
        <v>0</v>
      </c>
      <c r="AO85" s="54">
        <v>0</v>
      </c>
      <c r="AP85" s="54">
        <v>0</v>
      </c>
      <c r="AQ85" s="54">
        <v>0</v>
      </c>
      <c r="AR85" s="3" t="s">
        <v>270</v>
      </c>
      <c r="AS85" s="3">
        <v>0</v>
      </c>
      <c r="AT85" s="54">
        <v>0</v>
      </c>
      <c r="AU85" s="54">
        <v>0</v>
      </c>
      <c r="AV85" s="54">
        <v>0</v>
      </c>
      <c r="AW85" s="3" t="s">
        <v>270</v>
      </c>
      <c r="AX85" s="54">
        <v>0</v>
      </c>
      <c r="BA85" s="54">
        <v>0</v>
      </c>
      <c r="BB85" s="54">
        <v>0</v>
      </c>
      <c r="BC85" s="3">
        <v>0</v>
      </c>
      <c r="BD85" s="3">
        <v>0</v>
      </c>
      <c r="BE85" s="54">
        <v>1</v>
      </c>
      <c r="BF85" s="54">
        <v>0</v>
      </c>
      <c r="BG85" s="54">
        <v>1</v>
      </c>
      <c r="BH85" s="54">
        <v>0</v>
      </c>
      <c r="BI85" s="3">
        <v>-1</v>
      </c>
    </row>
  </sheetData>
  <sheetProtection formatCells="0" formatColumns="0" formatRows="0"/>
  <sortState xmlns:xlrd2="http://schemas.microsoft.com/office/spreadsheetml/2017/richdata2" ref="A5:I1817">
    <sortCondition ref="F5:F1817"/>
  </sortState>
  <conditionalFormatting sqref="B3">
    <cfRule type="dataBar" priority="14">
      <dataBar>
        <cfvo type="num" val="0"/>
        <cfvo type="num" val="1"/>
        <color rgb="FF92D050"/>
      </dataBar>
      <extLst>
        <ext xmlns:x14="http://schemas.microsoft.com/office/spreadsheetml/2009/9/main" uri="{B025F937-C7B1-47D3-B67F-A62EFF666E3E}">
          <x14:id>{1219BC71-6E4D-4FBD-8215-FAE4811FE6AD}</x14:id>
        </ext>
      </extLst>
    </cfRule>
  </conditionalFormatting>
  <conditionalFormatting sqref="B5:BI85">
    <cfRule type="expression" dxfId="9" priority="11">
      <formula>INDIRECT("$A$"&amp;ROW())&lt;&gt;INDIRECT("$A$"&amp;ROW()+1)</formula>
    </cfRule>
  </conditionalFormatting>
  <conditionalFormatting sqref="J1:J1048576">
    <cfRule type="expression" dxfId="8" priority="10">
      <formula>AND(ROW()&gt;4,$F1&lt;&gt;"",NOT($K$2=""),OR(COUNTA($J1)=0,AND(IFERROR(FIND("{",_xlfn.FORMULATEXT($J1),1)&gt;0,FALSE)=FALSE,$J1&lt;$K$2)))</formula>
    </cfRule>
  </conditionalFormatting>
  <conditionalFormatting sqref="K1:K1048576">
    <cfRule type="expression" dxfId="7" priority="8">
      <formula>AND(ROW()&gt;4,$F1&lt;&gt;"",NOT($K$2=""),OR(COUNTA($K1)=0,AND(IFERROR(FIND("{",_xlfn.FORMULATEXT($K1),1)&gt;0,FALSE)=FALSE,OR($K1&lt;$K$2,$J1&lt;&gt;$K1))))</formula>
    </cfRule>
  </conditionalFormatting>
  <conditionalFormatting sqref="L1:L1048576">
    <cfRule type="expression" dxfId="6" priority="7">
      <formula>AND(ROW()&gt;4,$F1&lt;&gt;"",NOT($K$2=""),COUNTA($L1)&gt;0,IFERROR(FIND("{",_xlfn.FORMULATEXT($L1),1)&gt;0,FALSE)=FALSE,$L1&lt;$K$2)</formula>
    </cfRule>
  </conditionalFormatting>
  <conditionalFormatting sqref="E5:BI85">
    <cfRule type="expression" dxfId="5" priority="4">
      <formula>INDIRECT("$G$"&amp;ROW())=0</formula>
    </cfRule>
  </conditionalFormatting>
  <conditionalFormatting sqref="B5:D85">
    <cfRule type="expression" dxfId="4" priority="3">
      <formula>NOT(INDIRECT("$C$"&amp;ROW())="available")</formula>
    </cfRule>
  </conditionalFormatting>
  <dataValidations disablePrompts="1" count="1">
    <dataValidation type="decimal" operator="greaterThan" allowBlank="1" showErrorMessage="1" errorTitle="Course ID - numbers only" error="Please enter a valid Course ID number._x000a__x000a_Hint: the Course ID is in the Canvas URL of the course_x000a_(e.g. https://example.instructure.com/courses/123)" sqref="B2" xr:uid="{00000000-0002-0000-0100-000000000000}">
      <formula1>0</formula1>
    </dataValidation>
  </dataValidations>
  <hyperlinks>
    <hyperlink ref="B5" r:id="rId1" tooltip="View course" display="'1695A2-P4-Fenger" xr:uid="{9E2B19F1-25E0-4901-9741-CA72FD523DDA}"/>
    <hyperlink ref="D5" r:id="rId2" tooltip="View course assignments" display="'Engineering 2 - P4, P7 &amp; P8" xr:uid="{3B9BAB50-0C90-462E-9E00-23319B68C9CC}"/>
    <hyperlink ref="F5" r:id="rId3" tooltip="View assignment" display="'Precedent Research" xr:uid="{1252E095-CF7D-4F7A-9DC0-32AC849ABAFF}"/>
    <hyperlink ref="T5" r:id="rId4" tooltip="View assignment" xr:uid="{37166392-6D7E-4737-B82F-1A354D888EC4}"/>
    <hyperlink ref="U5" r:id="rId5" tooltip="Download zip file of assignments" xr:uid="{81F6F2C8-8010-4F81-870B-AB712A5CB166}"/>
    <hyperlink ref="B6" r:id="rId6" tooltip="View course" display="'1695A2-P4-Fenger" xr:uid="{04A09153-E40F-4CFA-895D-C237D309DE3B}"/>
    <hyperlink ref="D6" r:id="rId7" tooltip="View course assignments" display="'Engineering 2 - P4, P7 &amp; P8" xr:uid="{42A561E2-E766-4ABE-9548-CD92DCEA6203}"/>
    <hyperlink ref="F6" r:id="rId8" tooltip="View assignment" display="'Mid Project Report " xr:uid="{597F1B72-2CF7-461F-923E-A1652FC2058D}"/>
    <hyperlink ref="T6" r:id="rId9" tooltip="View assignment" xr:uid="{260EC832-4CEE-4C7F-8E02-80E494307D6F}"/>
    <hyperlink ref="U6" r:id="rId10" tooltip="Download zip file of assignments" xr:uid="{93418E3E-2935-4A4C-9341-0006EB54F758}"/>
    <hyperlink ref="B7" r:id="rId11" tooltip="View course" display="'1695A2-P4-Fenger" xr:uid="{E09CA421-8221-452B-9E2C-56F55D28FDFD}"/>
    <hyperlink ref="D7" r:id="rId12" tooltip="View course assignments" display="'Engineering 2 - P4, P7 &amp; P8" xr:uid="{A70F4DEB-3862-4D2D-B66C-6874EA623DEF}"/>
    <hyperlink ref="F7" r:id="rId13" tooltip="View assignment" display="'Final Project Report" xr:uid="{3CCA5831-393E-4C27-ABE7-5748F0E32DBF}"/>
    <hyperlink ref="T7" r:id="rId14" tooltip="View assignment" xr:uid="{2A9D415C-0D93-4135-84EB-D4D167DE1DEA}"/>
    <hyperlink ref="U7" r:id="rId15" tooltip="Download zip file of assignments" xr:uid="{F0420A4B-88A7-46AE-8F4D-538DFC9778DB}"/>
    <hyperlink ref="B8" r:id="rId16" tooltip="View course" display="'1695A2-P4-Fenger" xr:uid="{35C90028-E264-4A6C-9E54-E3FBD2DA102F}"/>
    <hyperlink ref="D8" r:id="rId17" tooltip="View course assignments" display="'Engineering 2 - P4, P7 &amp; P8" xr:uid="{546C270B-A310-4CB2-A3A6-957097A62E32}"/>
    <hyperlink ref="F8" r:id="rId18" tooltip="View assignment" display="'1.1 Jumping into Onshape Assignment" xr:uid="{C5B99A62-F8A1-4639-95AE-CD06764647E4}"/>
    <hyperlink ref="T8" r:id="rId19" tooltip="View assignment" xr:uid="{78F41FD8-F3E1-4901-AFD5-28DE36E9F0AE}"/>
    <hyperlink ref="U8" r:id="rId20" tooltip="Download zip file of assignments" xr:uid="{07510E24-B9AC-4FF1-95B5-0E876769822C}"/>
    <hyperlink ref="B9" r:id="rId21" tooltip="View course" display="'1695A2-P4-Fenger" xr:uid="{5FC5EA36-3FE8-4BBD-BE2D-03709038E556}"/>
    <hyperlink ref="D9" r:id="rId22" tooltip="View course assignments" display="'Engineering 2 - P4, P7 &amp; P8" xr:uid="{820B7F6B-FC70-42B3-8DCF-19EDE093BB19}"/>
    <hyperlink ref="F9" r:id="rId23" tooltip="View assignment" display="'1.2 Viewing Objects in Onshape Assignment" xr:uid="{E0FED552-60DF-4D77-A094-06C1C66396FF}"/>
    <hyperlink ref="T9" r:id="rId24" tooltip="View assignment" xr:uid="{53EF1276-C5AC-4672-B976-C54C5D79F382}"/>
    <hyperlink ref="U9" r:id="rId25" tooltip="Download zip file of assignments" xr:uid="{A42567CD-C3CC-4018-A7FE-ABD939A043D5}"/>
    <hyperlink ref="B10" r:id="rId26" tooltip="View course" display="'1695A2-P4-Fenger" xr:uid="{1312FDC1-079F-4839-A67E-27FA6B87AFBD}"/>
    <hyperlink ref="D10" r:id="rId27" tooltip="View course assignments" display="'Engineering 2 - P4, P7 &amp; P8" xr:uid="{D2A6DD42-9F8D-4858-B7E8-80A6387750EC}"/>
    <hyperlink ref="F10" r:id="rId28" tooltip="View assignment" display="'1.3 Looking Deeper Assignment" xr:uid="{3A90D6A5-1C32-4D15-9114-AECF7CB489C8}"/>
    <hyperlink ref="T10" r:id="rId29" tooltip="View assignment" xr:uid="{AC5A661B-6BB9-46CB-9BD9-571CD5F97D22}"/>
    <hyperlink ref="U10" r:id="rId30" tooltip="Download zip file of assignments" xr:uid="{BB72E54D-3B5E-4F78-AFFA-9B719B3056F2}"/>
    <hyperlink ref="B11" r:id="rId31" tooltip="View course" display="'1695A2-P4-Fenger" xr:uid="{758E7153-8D80-4357-9FD3-5BF107CD8505}"/>
    <hyperlink ref="D11" r:id="rId32" tooltip="View course assignments" display="'Engineering 2 - P4, P7 &amp; P8" xr:uid="{75B3BC95-B802-45E9-85E7-2C239329808E}"/>
    <hyperlink ref="F11" r:id="rId33" tooltip="View assignment" display="'Unit 1 Summative Assessment" xr:uid="{45EF5D99-6E2B-49F7-814C-85D50D3DABEA}"/>
    <hyperlink ref="T11" r:id="rId34" tooltip="View assignment" xr:uid="{9A41FBDC-A11C-46A7-B629-9F90BED8D1E0}"/>
    <hyperlink ref="U11" r:id="rId35" tooltip="Download zip file of assignments" xr:uid="{C0EC0670-E270-4A08-BA93-8549429D72AB}"/>
    <hyperlink ref="B12" r:id="rId36" tooltip="View course" display="'1695A2-P4-Fenger" xr:uid="{7FD27861-1D02-45A2-AB3D-EF1A4A67F6B8}"/>
    <hyperlink ref="D12" r:id="rId37" tooltip="View course assignments" display="'Engineering 2 - P4, P7 &amp; P8" xr:uid="{D31AF7B5-4873-472B-9397-4AAD9A0DB33D}"/>
    <hyperlink ref="F12" r:id="rId38" tooltip="View assignment" display="'2.1 Designing the Deck Assignment" xr:uid="{D216338D-A1B2-4A29-9566-CF58C064D28D}"/>
    <hyperlink ref="T12" r:id="rId39" tooltip="View assignment" xr:uid="{562C657C-B4D1-4C23-BE9F-BF9FFD10C002}"/>
    <hyperlink ref="U12" r:id="rId40" tooltip="Download zip file of assignments" xr:uid="{A13249A0-572A-4046-BA0D-B94054C41FAF}"/>
    <hyperlink ref="B13" r:id="rId41" tooltip="View course" display="'1695A2-P4-Fenger" xr:uid="{11F9DD08-C1C5-404A-8DDC-7343451F23D1}"/>
    <hyperlink ref="D13" r:id="rId42" tooltip="View course assignments" display="'Engineering 2 - P4, P7 &amp; P8" xr:uid="{5D20688B-9E82-4252-89A3-88AF42BD6F56}"/>
    <hyperlink ref="F13" r:id="rId43" tooltip="View assignment" display="'2.2 Designing the Trucks - Assignment" xr:uid="{9FB1ADBD-F006-4996-969F-32F47CC3A5B8}"/>
    <hyperlink ref="T13" r:id="rId44" tooltip="View assignment" xr:uid="{2C1C5823-0449-408D-9233-CF43D8409784}"/>
    <hyperlink ref="U13" r:id="rId45" tooltip="Download zip file of assignments" xr:uid="{3714BB71-5D50-415F-8B2F-93A38791113C}"/>
    <hyperlink ref="B14" r:id="rId46" tooltip="View course" display="'1695A2-P4-Fenger" xr:uid="{0607C8D7-EFE9-4C24-8ACE-C52C9A17DBC9}"/>
    <hyperlink ref="D14" r:id="rId47" tooltip="View course assignments" display="'Engineering 2 - P4, P7 &amp; P8" xr:uid="{C7C0989F-26F0-47A7-9F05-9EC0B6BBD026}"/>
    <hyperlink ref="F14" r:id="rId48" tooltip="View assignment" display="'2.3 Wheels and Bearings Assignment" xr:uid="{9BE7E574-7D32-45DB-B8BF-187E399AB480}"/>
    <hyperlink ref="T14" r:id="rId49" tooltip="View assignment" xr:uid="{041486A0-60B7-4810-9213-6111901BCEE6}"/>
    <hyperlink ref="U14" r:id="rId50" tooltip="Download zip file of assignments" xr:uid="{1C768A56-7839-4E06-A71E-7E6F90B32814}"/>
    <hyperlink ref="B15" r:id="rId51" tooltip="View course" display="'1695A2-P4-Fenger" xr:uid="{0F41A804-5AD6-4457-8831-1203CE7B9DC9}"/>
    <hyperlink ref="D15" r:id="rId52" tooltip="View course assignments" display="'Engineering 2 - P4, P7 &amp; P8" xr:uid="{D1EB6C18-E9C3-4034-86C3-D69E84DFC55F}"/>
    <hyperlink ref="F15" r:id="rId53" tooltip="View assignment" display="'2.4 Putting It All Together - Assignment" xr:uid="{82069C26-E387-4C30-909D-C8FD37C443BA}"/>
    <hyperlink ref="T15" r:id="rId54" tooltip="View assignment" xr:uid="{30FF07B5-2F54-4739-A0DB-1A10150FAF9D}"/>
    <hyperlink ref="U15" r:id="rId55" tooltip="Download zip file of assignments" xr:uid="{8A5E607F-4A39-46DB-BEF8-996C82103FBE}"/>
    <hyperlink ref="B16" r:id="rId56" tooltip="View course" display="'1695A2-P4-Fenger" xr:uid="{7C9BD772-A8A7-43BA-8B42-AC77E8BB2C1A}"/>
    <hyperlink ref="D16" r:id="rId57" tooltip="View course assignments" display="'Engineering 2 - P4, P7 &amp; P8" xr:uid="{D77F0153-C42B-4D95-B3CE-B7FE95237D9B}"/>
    <hyperlink ref="F16" r:id="rId58" tooltip="View assignment" display="'2.5 Now Shred! Assignment" xr:uid="{1A9FC4EF-0FAD-4255-B7E7-D2A4F11D4167}"/>
    <hyperlink ref="T16" r:id="rId59" tooltip="View assignment" xr:uid="{CE02A637-03E7-41B4-B654-D574E284D989}"/>
    <hyperlink ref="U16" r:id="rId60" tooltip="Download zip file of assignments" xr:uid="{BD3C4DD5-35D9-470D-BACB-D1CE5518B033}"/>
    <hyperlink ref="B17" r:id="rId61" tooltip="View course" display="'1695A2-P4-Fenger" xr:uid="{3B2FA331-42CA-48B6-95E5-C9FBBD85D964}"/>
    <hyperlink ref="D17" r:id="rId62" tooltip="View course assignments" display="'Engineering 2 - P4, P7 &amp; P8" xr:uid="{62638C0D-F641-4C26-950E-951F99A08369}"/>
    <hyperlink ref="F17" r:id="rId63" tooltip="View assignment" display="'3.1 How the Pros Do It - Assignment" xr:uid="{849D123E-B6DB-4D1D-A9EF-AC2FDD79B647}"/>
    <hyperlink ref="T17" r:id="rId64" tooltip="View assignment" xr:uid="{2C8BEE86-8CB0-4990-8C7C-780921B137F3}"/>
    <hyperlink ref="U17" r:id="rId65" tooltip="Download zip file of assignments" xr:uid="{10226B0D-5344-479B-94C4-419CC5858BCB}"/>
    <hyperlink ref="B18" r:id="rId66" tooltip="View course" display="'1695A2-P4-Fenger" xr:uid="{B01C6620-9625-4D4B-A13F-A21268603D00}"/>
    <hyperlink ref="D18" r:id="rId67" tooltip="View course assignments" display="'Engineering 2 - P4, P7 &amp; P8" xr:uid="{58B98176-7628-40B7-A75D-86D38F04F74A}"/>
    <hyperlink ref="F18" r:id="rId68" tooltip="View assignment" display="'3.2 One Brick to Rule Them All - Assignment " xr:uid="{931F0C5B-A685-4266-94C5-C12AD06514D4}"/>
    <hyperlink ref="T18" r:id="rId69" tooltip="View assignment" xr:uid="{B73938BF-85CE-41D8-9257-97B203608B91}"/>
    <hyperlink ref="U18" r:id="rId70" tooltip="Download zip file of assignments" xr:uid="{E08E33AB-5CE7-47F3-83E2-2366A99962BE}"/>
    <hyperlink ref="B19" r:id="rId71" tooltip="View course" display="'1695A2-P4-Fenger" xr:uid="{3B7D7774-092E-4FA7-AE48-6DA9E2319837}"/>
    <hyperlink ref="D19" r:id="rId72" tooltip="View course assignments" display="'Engineering 2 - P4, P7 &amp; P8" xr:uid="{7650FF68-E5B4-46FB-96AA-91D9A0EE246D}"/>
    <hyperlink ref="F19" r:id="rId73" tooltip="View assignment" display="'3.3 Building Blocks Assignment " xr:uid="{67DF65AE-5D93-4663-AA2C-DB427A5B5AD8}"/>
    <hyperlink ref="T19" r:id="rId74" tooltip="View assignment" xr:uid="{CD756CA9-0ADC-40EA-8D61-1BC0127CEACE}"/>
    <hyperlink ref="U19" r:id="rId75" tooltip="Download zip file of assignments" xr:uid="{4CA25D11-545B-4FD1-BED5-15FCE5C4F12B}"/>
    <hyperlink ref="B20" r:id="rId76" tooltip="View course" display="'1695A2-P4-Fenger" xr:uid="{585EF6FC-004B-41AD-8667-8625FAD3E5D4}"/>
    <hyperlink ref="D20" r:id="rId77" tooltip="View course assignments" display="'Engineering 2 - P4, P7 &amp; P8" xr:uid="{B0EAC49E-87EA-4B08-ACCE-AE2FCCF70024}"/>
    <hyperlink ref="F20" r:id="rId78" tooltip="View assignment" display="'3.4 Instruction Manual Assignment" xr:uid="{C52F4923-98C2-45F3-8AFA-09B38C964C9C}"/>
    <hyperlink ref="T20" r:id="rId79" tooltip="View assignment" xr:uid="{5815D567-B407-4B4A-80A3-179A1776E597}"/>
    <hyperlink ref="U20" r:id="rId80" tooltip="Download zip file of assignments" xr:uid="{186688BC-B1E9-4680-A06C-0A7E7BFF186A}"/>
    <hyperlink ref="B21" r:id="rId81" tooltip="View course" display="'1695A2-P4-Fenger" xr:uid="{0EC1A489-665D-4DAD-BD77-C6C94CEF2F17}"/>
    <hyperlink ref="D21" r:id="rId82" tooltip="View course assignments" display="'Engineering 2 - P4, P7 &amp; P8" xr:uid="{0880C51E-4814-4E1C-A4A0-1C64FA607A48}"/>
    <hyperlink ref="F21" r:id="rId83" tooltip="View assignment" display="'4.1 Ring and Spinner Assignment" xr:uid="{4E493D19-5CED-49DB-9BE6-99E7C30BA357}"/>
    <hyperlink ref="T21" r:id="rId84" tooltip="View assignment" xr:uid="{388BA38E-7163-4BDF-A93A-453A9608F4D5}"/>
    <hyperlink ref="U21" r:id="rId85" tooltip="Download zip file of assignments" xr:uid="{BE9D3C83-4FEC-4E23-BDA9-911A0DDFE57E}"/>
    <hyperlink ref="B22" r:id="rId86" tooltip="View course" display="'1695A2-P4-Fenger" xr:uid="{46584E58-4632-4728-891E-529408C2EBA2}"/>
    <hyperlink ref="D22" r:id="rId87" tooltip="View course assignments" display="'Engineering 2 - P4, P7 &amp; P8" xr:uid="{079E3E81-FB7F-4CBD-B7C0-D421BD550D7C}"/>
    <hyperlink ref="F22" r:id="rId88" tooltip="View assignment" display="'Sketch w/ Dimensions" xr:uid="{8168460E-E8BF-4F4A-8256-A1559C3A2988}"/>
    <hyperlink ref="T22" r:id="rId89" tooltip="View assignment" xr:uid="{F4F27404-D47B-4C35-96CF-E06344C88884}"/>
    <hyperlink ref="U22" r:id="rId90" tooltip="Download zip file of assignments" xr:uid="{80CA48EB-CDDB-4567-B8E3-458D176BDD85}"/>
    <hyperlink ref="B23" r:id="rId91" tooltip="View course" display="'1695A2-P4-Fenger" xr:uid="{A74093C2-A0A9-48A9-AE0A-14EC65DF0C6F}"/>
    <hyperlink ref="D23" r:id="rId92" tooltip="View course assignments" display="'Engineering 2 - P4, P7 &amp; P8" xr:uid="{2AD27402-DC7A-4EA3-84C5-E38D29215A42}"/>
    <hyperlink ref="F23" r:id="rId93" tooltip="View assignment" display="'Draw 3 Simple Machines" xr:uid="{4D2B80ED-B8AF-4F75-AEB3-0CAF8F4E3FE7}"/>
    <hyperlink ref="T23" r:id="rId94" tooltip="View assignment" xr:uid="{955CAE1E-E11D-4C16-A08A-9885091ED97D}"/>
    <hyperlink ref="U23" r:id="rId95" tooltip="Download zip file of assignments" xr:uid="{8E6FF1F2-DBA5-4425-88BF-B0B814BC0CE3}"/>
    <hyperlink ref="B24" r:id="rId96" tooltip="View course" display="'1695A2-P4-Fenger" xr:uid="{F44A0E9B-8776-4B30-8FE4-6F243D4E8452}"/>
    <hyperlink ref="D24" r:id="rId97" tooltip="View course assignments" display="'Engineering 2 - P4, P7 &amp; P8" xr:uid="{58EFB1BB-0BA3-45AD-B6BC-D0B000A2EE4C}"/>
    <hyperlink ref="F24" r:id="rId98" tooltip="View assignment" display="'Rube Goldberg Project Final Report" xr:uid="{E9BCC773-2819-494E-ADC3-D5028235751F}"/>
    <hyperlink ref="T24" r:id="rId99" tooltip="View assignment" xr:uid="{969089ED-BB03-4806-BF53-DDE3568DD373}"/>
    <hyperlink ref="U24" r:id="rId100" tooltip="Download zip file of assignments" xr:uid="{9BB1FE22-E05B-4E3A-B722-73212FC0F684}"/>
    <hyperlink ref="B25" r:id="rId101" tooltip="View course" display="'1695A2-P4-Fenger" xr:uid="{8BC7A20B-AAA1-41FB-A599-877353239223}"/>
    <hyperlink ref="D25" r:id="rId102" tooltip="View course assignments" display="'Engineering 2 - P4, P7 &amp; P8" xr:uid="{DF0DE73D-E253-4D7A-AFA2-D21190084132}"/>
    <hyperlink ref="F25" r:id="rId103" tooltip="View assignment" display="'Video of Working Machine" xr:uid="{E9FFE96D-F89B-448F-8879-FD97A0E907F0}"/>
    <hyperlink ref="T25" r:id="rId104" tooltip="View assignment" xr:uid="{E6609A54-8DDB-482F-AA66-214D63535AB8}"/>
    <hyperlink ref="U25" r:id="rId105" tooltip="Download zip file of assignments" xr:uid="{CB27B42B-6E8A-4968-BB1B-AEB769B11D5C}"/>
    <hyperlink ref="B26" r:id="rId106" tooltip="View course" display="'1695B2-P3-Fenger" xr:uid="{83ACC2CC-1DAE-4184-97A0-5FCA69ED5BF1}"/>
    <hyperlink ref="D26" r:id="rId107" tooltip="View course assignments" display="'Engineering 4 -  P3 &amp; P6" xr:uid="{00C48837-F568-4937-B1F7-F7797D621069}"/>
    <hyperlink ref="F26" r:id="rId108" tooltip="View assignment" display="'Bridge #1 Design and Analysis" xr:uid="{639838DA-36C5-420C-BD2F-F21BDB35DFB5}"/>
    <hyperlink ref="T26" r:id="rId109" tooltip="View assignment" xr:uid="{D319CA8A-2C42-4FB6-95C2-CD13F6F407AF}"/>
    <hyperlink ref="U26" r:id="rId110" tooltip="Download zip file of assignments" xr:uid="{F58C21A9-221B-433D-877C-63ED2C074D23}"/>
    <hyperlink ref="B27" r:id="rId111" tooltip="View course" display="'1695B2-P3-Fenger" xr:uid="{42469599-A67C-4805-9B4B-2775A4FB2C24}"/>
    <hyperlink ref="D27" r:id="rId112" tooltip="View course assignments" display="'Engineering 4 -  P3 &amp; P6" xr:uid="{FE2F20B2-64AE-42B1-AC6B-BCF2EDADE293}"/>
    <hyperlink ref="F27" r:id="rId113" tooltip="View assignment" display="'Final Design and Analysis" xr:uid="{B8297441-6EAD-4D97-A737-07809150BD26}"/>
    <hyperlink ref="T27" r:id="rId114" tooltip="View assignment" xr:uid="{96B51F1D-57CC-44B9-8E71-A11E6CB5497F}"/>
    <hyperlink ref="U27" r:id="rId115" tooltip="Download zip file of assignments" xr:uid="{9F0E4273-20A1-4088-8A04-3A3D434BDC55}"/>
    <hyperlink ref="B28" r:id="rId116" tooltip="View course" display="'1695B2-P3-Fenger" xr:uid="{76293BB2-185D-42B9-94E5-811277789585}"/>
    <hyperlink ref="D28" r:id="rId117" tooltip="View course assignments" display="'Engineering 4 -  P3 &amp; P6" xr:uid="{5265FCE4-C585-4AAA-8CF7-AE17F8572B89}"/>
    <hyperlink ref="F28" r:id="rId118" tooltip="View assignment" display="'Outreach Project Report" xr:uid="{3195802A-C00F-440F-A32F-22A976F9B234}"/>
    <hyperlink ref="T28" r:id="rId119" tooltip="View assignment" xr:uid="{14A6CC02-DA1B-4FC1-B16B-F5C46540232A}"/>
    <hyperlink ref="U28" r:id="rId120" tooltip="Download zip file of assignments" xr:uid="{205154AE-B830-4430-A442-BC528C9824AE}"/>
    <hyperlink ref="B29" r:id="rId121" tooltip="View course" display="'1695B2-P3-Fenger" xr:uid="{71CE3D39-2DBB-4FFA-9B5D-F4F1890ADC51}"/>
    <hyperlink ref="D29" r:id="rId122" tooltip="View course assignments" display="'Engineering 4 -  P3 &amp; P6" xr:uid="{0123DB6C-CD15-49E6-96E8-F48F4D215FE9}"/>
    <hyperlink ref="F29" r:id="rId123" tooltip="View assignment" display="'Popsicle Stick Bridge Report" xr:uid="{B6A9A360-20D5-4D65-B72D-B561A2CF8D75}"/>
    <hyperlink ref="T29" r:id="rId124" tooltip="View assignment" xr:uid="{4BBF3146-BC9D-4F18-B872-6A7BAF955242}"/>
    <hyperlink ref="U29" r:id="rId125" tooltip="Download zip file of assignments" xr:uid="{834ACEE8-6EA2-4FB0-B425-9FB1ABB3DDFA}"/>
    <hyperlink ref="B30" r:id="rId126" tooltip="View course" display="'1695C2-P3-Fenger" xr:uid="{7BE2E4E5-2BD5-4046-9A5F-E1E64E8D7B1E}"/>
    <hyperlink ref="D30" r:id="rId127" tooltip="View course assignments" display="'Engineering 6 - P3 &amp; P6" xr:uid="{38173853-BA59-494B-976B-02BBF17A85C7}"/>
    <hyperlink ref="F30" r:id="rId128" tooltip="View assignment" display="'Bridge #1 Design and Analysis" xr:uid="{E924E7DA-8F79-4780-B38A-9C56BEDFD7DD}"/>
    <hyperlink ref="T30" r:id="rId129" tooltip="View assignment" xr:uid="{A9A85E38-A1A8-48CD-9F23-DD76B50C586C}"/>
    <hyperlink ref="U30" r:id="rId130" tooltip="Download zip file of assignments" xr:uid="{6A2A600F-44BC-490A-B9DC-C5BCA786847B}"/>
    <hyperlink ref="B31" r:id="rId131" tooltip="View course" display="'1695C2-P3-Fenger" xr:uid="{0D13B004-5F3E-4457-AD5C-A885794AC704}"/>
    <hyperlink ref="D31" r:id="rId132" tooltip="View course assignments" display="'Engineering 6 - P3 &amp; P6" xr:uid="{12468175-7043-4DE2-92F3-4ABF8D459F56}"/>
    <hyperlink ref="F31" r:id="rId133" tooltip="View assignment" display="'Final Design and Analysis" xr:uid="{4D3C73F7-E044-4732-B746-9CE54FE12A11}"/>
    <hyperlink ref="T31" r:id="rId134" tooltip="View assignment" xr:uid="{5FE2B726-E9F2-40AC-8F5A-41E04DC450C1}"/>
    <hyperlink ref="U31" r:id="rId135" tooltip="Download zip file of assignments" xr:uid="{DE3E0147-5DDB-49B0-93D5-00EFE7073922}"/>
    <hyperlink ref="B32" r:id="rId136" tooltip="View course" display="'1695C2-P3-Fenger" xr:uid="{26174E3A-8A53-4D14-A71E-9F79046D7B7E}"/>
    <hyperlink ref="D32" r:id="rId137" tooltip="View course assignments" display="'Engineering 6 - P3 &amp; P6" xr:uid="{3C271B1D-01A4-466E-A4B5-4D1BBAA4E5BC}"/>
    <hyperlink ref="F32" r:id="rId138" tooltip="View assignment" display="'Outreach Project Report" xr:uid="{B559B03D-3FB5-4963-84B7-5B5C1193EE95}"/>
    <hyperlink ref="T32" r:id="rId139" tooltip="View assignment" xr:uid="{DC81B3A9-5CF1-4866-8F54-2294A9AB578C}"/>
    <hyperlink ref="U32" r:id="rId140" tooltip="Download zip file of assignments" xr:uid="{4D0CBC28-976A-4B4A-BDD4-B069F28A55D3}"/>
    <hyperlink ref="B33" r:id="rId141" tooltip="View course" display="'1695C2-P3-Fenger" xr:uid="{EBB5800F-C720-4788-891D-048D02C58F8A}"/>
    <hyperlink ref="D33" r:id="rId142" tooltip="View course assignments" display="'Engineering 6 - P3 &amp; P6" xr:uid="{CC3B04BB-ECC1-4955-9091-FE2663AD0476}"/>
    <hyperlink ref="F33" r:id="rId143" tooltip="View assignment" display="'Popsicle Stick Bridge Report" xr:uid="{199CDC62-90F1-4C12-84B2-26161F542FF5}"/>
    <hyperlink ref="T33" r:id="rId144" tooltip="View assignment" xr:uid="{8305CEE1-25F9-4253-A84A-2CC6822D5563}"/>
    <hyperlink ref="U33" r:id="rId145" tooltip="Download zip file of assignments" xr:uid="{7ADCFC2C-BF9A-461A-B88D-51B4CD1E7C3C}"/>
    <hyperlink ref="B34" r:id="rId146" tooltip="View course" display="'1626RA2-P1-Fenger" xr:uid="{495ED6D5-E467-46EB-A237-4C8E87DD2097}"/>
    <hyperlink ref="D34" r:id="rId147" tooltip="View course assignments" display="'Robotics 2 - P1 &amp; P5" xr:uid="{A0A58931-22D2-411F-8DB1-C66F7FE899DA}"/>
    <hyperlink ref="F34" r:id="rId148" tooltip="View assignment" display="'Sumo Match Video Submission" xr:uid="{3A92BFF6-7521-4ACE-A082-36104F5CCB3E}"/>
    <hyperlink ref="T34" r:id="rId149" tooltip="View assignment" xr:uid="{B631008E-FE60-4E02-BE6A-5227D5C53CA2}"/>
    <hyperlink ref="U34" r:id="rId150" tooltip="Download zip file of assignments" xr:uid="{D0C78BA9-216B-4D7B-8253-56A0B81BDE99}"/>
    <hyperlink ref="B35" r:id="rId151" tooltip="View course" display="'1626RA2-P1-Fenger" xr:uid="{1A1786CC-21A2-428F-B455-42C04E51B613}"/>
    <hyperlink ref="D35" r:id="rId152" tooltip="View course assignments" display="'Robotics 2 - P1 &amp; P5" xr:uid="{6F75B6B6-659A-4D9B-ACD9-E3EF2D70BAE7}"/>
    <hyperlink ref="F35" r:id="rId153" tooltip="View assignment" display="'Complete the Flight Traffic Controller Challenge" xr:uid="{B29F30A3-C303-4CD4-AD85-3841EBB94603}"/>
    <hyperlink ref="T35" r:id="rId154" tooltip="View assignment" xr:uid="{3C857941-033C-4C3C-B9ED-F9FAAF08CE77}"/>
    <hyperlink ref="U35" r:id="rId155" tooltip="Download zip file of assignments" xr:uid="{49F8C853-BA2B-493F-9D8C-3D19AC7C14A7}"/>
    <hyperlink ref="B36" r:id="rId156" tooltip="View course" display="'1626RA2-P1-Fenger" xr:uid="{2B443543-EC1C-422E-98D8-1DD4CBDCEC50}"/>
    <hyperlink ref="D36" r:id="rId157" tooltip="View course assignments" display="'Robotics 2 - P1 &amp; P5" xr:uid="{DB56B022-18D5-4FED-B55E-8132C06445A9}"/>
    <hyperlink ref="F36" r:id="rId158" tooltip="View assignment" display="'Organize Your Kits" xr:uid="{291267E1-043E-4B2D-A083-BD62F114639A}"/>
    <hyperlink ref="T36" r:id="rId159" tooltip="View assignment" xr:uid="{C2404FA5-C3DC-4353-8E08-7423A6F95B53}"/>
    <hyperlink ref="U36" r:id="rId160" tooltip="Download zip file of assignments" xr:uid="{E2A71B4A-AF0F-4140-BDC9-7CF97711FB4A}"/>
    <hyperlink ref="B37" r:id="rId161" tooltip="View course" display="'1626RA2-P1-Fenger" xr:uid="{EE5940E6-4906-46B8-83AF-20735E4514B9}"/>
    <hyperlink ref="D37" r:id="rId162" tooltip="View course assignments" display="'Robotics 2 - P1 &amp; P5" xr:uid="{42BE999B-0673-410D-BBF1-86AA65189850}"/>
    <hyperlink ref="F37" r:id="rId163" tooltip="View assignment" display="'Medbot 1: Basketball Drills Challenge" xr:uid="{E5FE75A4-421A-4353-A90E-8BF6F7ED0B91}"/>
    <hyperlink ref="T37" r:id="rId164" tooltip="View assignment" xr:uid="{EE849AF6-1E72-4199-8DBF-35D4D12D2310}"/>
    <hyperlink ref="U37" r:id="rId165" tooltip="Download zip file of assignments" xr:uid="{09F7D78F-4246-47FD-A385-CAD8CDE69DC4}"/>
    <hyperlink ref="B38" r:id="rId166" tooltip="View course" display="'1626RA2-P1-Fenger" xr:uid="{9B359962-AEE3-4D86-9292-F1623FBCF776}"/>
    <hyperlink ref="D38" r:id="rId167" tooltip="View course assignments" display="'Robotics 2 - P1 &amp; P5" xr:uid="{6C3C810B-8E2E-4A9E-A3B3-2D023B8B9997}"/>
    <hyperlink ref="F38" r:id="rId168" tooltip="View assignment" display="'Build the Robo Rally Robot" xr:uid="{F3648A3D-D9DE-4714-98CB-142BBAB5AB6E}"/>
    <hyperlink ref="T38" r:id="rId169" tooltip="View assignment" xr:uid="{6627269B-46C6-470B-B092-B41ABA17227E}"/>
    <hyperlink ref="U38" r:id="rId170" tooltip="Download zip file of assignments" xr:uid="{2AD6C0F1-B54C-44C4-9A2F-B8EED8D8EE4A}"/>
    <hyperlink ref="B39" r:id="rId171" tooltip="View course" display="'1626RA2-P1-Fenger" xr:uid="{01CC0EAB-F83E-4BB0-9507-06612E811B7E}"/>
    <hyperlink ref="D39" r:id="rId172" tooltip="View course assignments" display="'Robotics 2 - P1 &amp; P5" xr:uid="{703C7444-CE67-4CA8-846B-C0E3F3499EF1}"/>
    <hyperlink ref="F39" r:id="rId173" tooltip="View assignment" display="'Medbot 2: Security Camera Challenge!" xr:uid="{E24BDEA5-108D-4FA6-AF75-4B28247839E1}"/>
    <hyperlink ref="T39" r:id="rId174" tooltip="View assignment" xr:uid="{C9AAB635-522F-4103-881A-8DDFB08B3F11}"/>
    <hyperlink ref="U39" r:id="rId175" tooltip="Download zip file of assignments" xr:uid="{CA7DD7ED-DD30-4E1E-AED0-077994F2F349}"/>
    <hyperlink ref="B40" r:id="rId176" tooltip="View course" display="'1626RA2-P1-Fenger" xr:uid="{0AB9AA3C-0CEF-40B1-A332-50F4D674F674}"/>
    <hyperlink ref="D40" r:id="rId177" tooltip="View course assignments" display="'Robotics 2 - P1 &amp; P5" xr:uid="{2686E7C9-0223-4834-B5D2-B365E0E122B5}"/>
    <hyperlink ref="F40" r:id="rId178" tooltip="View assignment" display="'Medbot 3: &quot;AutoMed&quot; Challenge" xr:uid="{83505210-CED6-4BFE-B5A0-79668F1A533B}"/>
    <hyperlink ref="T40" r:id="rId179" tooltip="View assignment" xr:uid="{DC724823-36B3-4AC0-92C8-49EE43EB7566}"/>
    <hyperlink ref="U40" r:id="rId180" tooltip="Download zip file of assignments" xr:uid="{C18C9DDC-F04A-4F88-B41A-D98D8BEF1774}"/>
    <hyperlink ref="B41" r:id="rId181" tooltip="View course" display="'1626RA2-P1-Fenger" xr:uid="{85D09683-4BDD-4A39-85B2-BFB9F7473323}"/>
    <hyperlink ref="D41" r:id="rId182" tooltip="View course assignments" display="'Robotics 2 - P1 &amp; P5" xr:uid="{6762DBC8-183E-4449-813D-F070E8C8BD49}"/>
    <hyperlink ref="F41" r:id="rId183" tooltip="View assignment" display="'Build the Clawbot" xr:uid="{16E67FD7-8296-470D-9FB7-F87974D27C69}"/>
    <hyperlink ref="T41" r:id="rId184" tooltip="View assignment" xr:uid="{A0CA0E9F-37F3-4EA1-BE1E-BD06CC137359}"/>
    <hyperlink ref="U41" r:id="rId185" tooltip="Download zip file of assignments" xr:uid="{2327E7EE-4C3E-45D3-B6C4-428930FA3351}"/>
    <hyperlink ref="B42" r:id="rId186" tooltip="View course" display="'1626RA2-P1-Fenger" xr:uid="{59D25426-67DC-49FE-BE34-72EAFC7F4650}"/>
    <hyperlink ref="D42" r:id="rId187" tooltip="View course assignments" display="'Robotics 2 - P1 &amp; P5" xr:uid="{A098E6C9-EC19-4113-AC93-6B0729C11340}"/>
    <hyperlink ref="F42" r:id="rId188" tooltip="View assignment" display="'Package Dash Challenge" xr:uid="{85EFC910-4290-4E60-B84D-D414287B88CA}"/>
    <hyperlink ref="T42" r:id="rId189" tooltip="View assignment" xr:uid="{2744A87A-676B-4A71-BC21-341B7FDB3DE2}"/>
    <hyperlink ref="U42" r:id="rId190" tooltip="Download zip file of assignments" xr:uid="{C44CC081-2F2B-4E54-BBCF-2833538B90C9}"/>
    <hyperlink ref="B43" r:id="rId191" tooltip="View course" display="'1626RA2-P1-Fenger" xr:uid="{53DC3D78-923F-48ED-954B-F19F6F38EFAF}"/>
    <hyperlink ref="D43" r:id="rId192" tooltip="View course assignments" display="'Robotics 2 - P1 &amp; P5" xr:uid="{328C0AA3-F63F-42F9-B88E-B7FEDF375AB7}"/>
    <hyperlink ref="F43" r:id="rId193" tooltip="View assignment" display="'Rotate and Grab" xr:uid="{13622F73-9B55-412F-BBD2-0526D06C89BC}"/>
    <hyperlink ref="T43" r:id="rId194" tooltip="View assignment" xr:uid="{03992E64-1866-4E92-8964-E52B29FAFD33}"/>
    <hyperlink ref="U43" r:id="rId195" tooltip="Download zip file of assignments" xr:uid="{C480F70B-BA4D-4DEC-9773-7E17CFFB1C57}"/>
    <hyperlink ref="B44" r:id="rId196" tooltip="View course" display="'1626RA2-P1-Fenger" xr:uid="{22EAC977-9A24-49B3-A0C6-7041B8E6FA63}"/>
    <hyperlink ref="D44" r:id="rId197" tooltip="View course assignments" display="'Robotics 2 - P1 &amp; P5" xr:uid="{DB8BC796-62FB-4D80-B76F-B6E1AB85A85B}"/>
    <hyperlink ref="F44" r:id="rId198" tooltip="View assignment" display="'Turn Grab and Place" xr:uid="{C19D9FCD-33C6-4A87-84E4-911D4F4C0D4A}"/>
    <hyperlink ref="T44" r:id="rId199" tooltip="View assignment" xr:uid="{27A6B4B1-45C8-44E2-9A6C-A7413B2445EB}"/>
    <hyperlink ref="U44" r:id="rId200" tooltip="Download zip file of assignments" xr:uid="{8392A0FC-A0ED-4E14-8D42-F79861510E49}"/>
    <hyperlink ref="B45" r:id="rId201" tooltip="View course" display="'1626RA2-P1-Fenger" xr:uid="{F2A03366-2074-418D-99AD-1DF2287ACD29}"/>
    <hyperlink ref="D45" r:id="rId202" tooltip="View course assignments" display="'Robotics 2 - P1 &amp; P5" xr:uid="{7DAD5900-5B8C-4D43-AB7F-6130CCE0980E}"/>
    <hyperlink ref="F45" r:id="rId203" tooltip="View assignment" display="'Soccer Video" xr:uid="{A5F09DE4-D3BB-4790-BBA6-C1DCA2BFF844}"/>
    <hyperlink ref="T45" r:id="rId204" tooltip="View assignment" xr:uid="{0F442A99-E425-4A71-91B5-26831527088C}"/>
    <hyperlink ref="U45" r:id="rId205" tooltip="Download zip file of assignments" xr:uid="{C289E48A-E628-493E-985D-566D1B41E5B4}"/>
    <hyperlink ref="B46" r:id="rId206" tooltip="View course" display="'1626RA2-P1-Fenger" xr:uid="{C75F8986-B8A0-46BA-9654-080CB3A8DB9A}"/>
    <hyperlink ref="D46" r:id="rId207" tooltip="View course assignments" display="'Robotics 2 - P1 &amp; P5" xr:uid="{DE5A1178-95F5-48EF-82E8-76538219A7FE}"/>
    <hyperlink ref="F46" r:id="rId208" tooltip="View assignment" display="'1.1 Jumping into Onshape Assignment" xr:uid="{4E5675FE-8E52-478D-BBFF-60E92C133729}"/>
    <hyperlink ref="T46" r:id="rId209" tooltip="View assignment" xr:uid="{DDF4C059-9BEF-483B-9F9A-731627ADE37E}"/>
    <hyperlink ref="U46" r:id="rId210" tooltip="Download zip file of assignments" xr:uid="{C2AF14A6-CA1D-4041-B51A-28899C15E58D}"/>
    <hyperlink ref="B47" r:id="rId211" tooltip="View course" display="'1626RA2-P1-Fenger" xr:uid="{30207981-AE3F-47E8-9505-F0272C9EBA81}"/>
    <hyperlink ref="D47" r:id="rId212" tooltip="View course assignments" display="'Robotics 2 - P1 &amp; P5" xr:uid="{689BFCBA-7674-4A0B-B40F-2157B81FA508}"/>
    <hyperlink ref="F47" r:id="rId213" tooltip="View assignment" display="'1.2 Viewing Objects in Onshape Assignment" xr:uid="{EAAFB086-0AAC-41A8-B118-B9D8BD99F655}"/>
    <hyperlink ref="T47" r:id="rId214" tooltip="View assignment" xr:uid="{BF976CFF-82B6-4E00-BDB4-CAEA33528187}"/>
    <hyperlink ref="U47" r:id="rId215" tooltip="Download zip file of assignments" xr:uid="{834CD32C-C9FE-44D9-8DC8-255184D52203}"/>
    <hyperlink ref="B48" r:id="rId216" tooltip="View course" display="'1626RA2-P1-Fenger" xr:uid="{5EFE648B-34E3-4649-9660-561B9B6145AE}"/>
    <hyperlink ref="D48" r:id="rId217" tooltip="View course assignments" display="'Robotics 2 - P1 &amp; P5" xr:uid="{59476BAC-CFC0-4CC1-9D74-5372586C91FA}"/>
    <hyperlink ref="F48" r:id="rId218" tooltip="View assignment" display="'1.3 Looking Deeper Assignment" xr:uid="{95801AD0-C0BB-473F-A2D3-52EC2563C61B}"/>
    <hyperlink ref="T48" r:id="rId219" tooltip="View assignment" xr:uid="{2DE9D181-F593-408F-B4CC-3806D2E7CBCB}"/>
    <hyperlink ref="U48" r:id="rId220" tooltip="Download zip file of assignments" xr:uid="{AA54B00F-47E2-4153-A32E-CB2BE04AFEE7}"/>
    <hyperlink ref="B49" r:id="rId221" tooltip="View course" display="'1626RA2-P1-Fenger" xr:uid="{ACE0D406-FAAF-419D-851A-D94300B8576B}"/>
    <hyperlink ref="D49" r:id="rId222" tooltip="View course assignments" display="'Robotics 2 - P1 &amp; P5" xr:uid="{C23C1160-56FC-4FB9-8842-CB39203ECB60}"/>
    <hyperlink ref="F49" r:id="rId223" tooltip="View assignment" display="'Unit 1 Summative Assessment" xr:uid="{839C00D8-573F-4B08-805A-1FDB0A22A2BC}"/>
    <hyperlink ref="T49" r:id="rId224" tooltip="View assignment" xr:uid="{D18D6FB3-4C1B-42F3-B8A5-C88295BD085E}"/>
    <hyperlink ref="U49" r:id="rId225" tooltip="Download zip file of assignments" xr:uid="{A7E9D9C9-6F17-48E9-8CC7-D7F305509038}"/>
    <hyperlink ref="B50" r:id="rId226" tooltip="View course" display="'1626RA2-P1-Fenger" xr:uid="{57328A9F-D31B-4B8F-9F19-DE4135A88814}"/>
    <hyperlink ref="D50" r:id="rId227" tooltip="View course assignments" display="'Robotics 2 - P1 &amp; P5" xr:uid="{D1C7A52D-4F28-408D-9C00-9D890209CE51}"/>
    <hyperlink ref="F50" r:id="rId228" tooltip="View assignment" display="'2.1 Designing the Deck Assignment" xr:uid="{A8DEBC48-7849-4286-A6B3-3B19C159BE76}"/>
    <hyperlink ref="T50" r:id="rId229" tooltip="View assignment" xr:uid="{C32C6266-0541-4551-AD1B-1F7A7AA98184}"/>
    <hyperlink ref="U50" r:id="rId230" tooltip="Download zip file of assignments" xr:uid="{6B1746F5-1607-4662-9D5F-1237A1359B89}"/>
    <hyperlink ref="B51" r:id="rId231" tooltip="View course" display="'1626RA2-P1-Fenger" xr:uid="{130F832F-187C-4B98-9FF9-26A64885E674}"/>
    <hyperlink ref="D51" r:id="rId232" tooltip="View course assignments" display="'Robotics 2 - P1 &amp; P5" xr:uid="{3DB13898-2B5E-4C93-A614-3D55A0B359FD}"/>
    <hyperlink ref="F51" r:id="rId233" tooltip="View assignment" display="'2.2 Designing the Trucks - Assignment" xr:uid="{D8BB49E2-55B0-4ADA-9E11-2AA33612BF28}"/>
    <hyperlink ref="T51" r:id="rId234" tooltip="View assignment" xr:uid="{6EACAA3A-4AFE-4498-9B05-5A6A3393A303}"/>
    <hyperlink ref="U51" r:id="rId235" tooltip="Download zip file of assignments" xr:uid="{7EEB07C8-55FF-4F9B-A1F5-5E16B86CF416}"/>
    <hyperlink ref="B52" r:id="rId236" tooltip="View course" display="'1626RA2-P1-Fenger" xr:uid="{7446D8D1-AED5-4749-873F-90CFC4F1BC97}"/>
    <hyperlink ref="D52" r:id="rId237" tooltip="View course assignments" display="'Robotics 2 - P1 &amp; P5" xr:uid="{10AAF5A2-E699-4F7F-9FC5-353DF4DBCF4B}"/>
    <hyperlink ref="F52" r:id="rId238" tooltip="View assignment" display="'2.3 Wheels and Bearings Assignment" xr:uid="{AB4BF67A-6DFE-4EF2-AD09-0C7F9BA59957}"/>
    <hyperlink ref="T52" r:id="rId239" tooltip="View assignment" xr:uid="{D121F5AB-A8FC-4C85-BD54-BAF3CA1C753B}"/>
    <hyperlink ref="U52" r:id="rId240" tooltip="Download zip file of assignments" xr:uid="{9D382B0B-7D3B-4308-B43F-FDCB67A94B0A}"/>
    <hyperlink ref="B53" r:id="rId241" tooltip="View course" display="'1626RA2-P1-Fenger" xr:uid="{F1005E35-EA57-40C0-8F07-EF019661AD71}"/>
    <hyperlink ref="D53" r:id="rId242" tooltip="View course assignments" display="'Robotics 2 - P1 &amp; P5" xr:uid="{B708ECC8-262D-4AFD-8D47-249D355928F9}"/>
    <hyperlink ref="F53" r:id="rId243" tooltip="View assignment" display="'2.4 Putting It All Together - Assignment" xr:uid="{D6F826FE-DCDF-42D7-BFD2-F76139CB6DBD}"/>
    <hyperlink ref="T53" r:id="rId244" tooltip="View assignment" xr:uid="{9B80142A-0044-47D6-9425-77B127384535}"/>
    <hyperlink ref="U53" r:id="rId245" tooltip="Download zip file of assignments" xr:uid="{E1FEC16A-8E50-446B-BE44-927193D4EFA8}"/>
    <hyperlink ref="B54" r:id="rId246" tooltip="View course" display="'1626RA2-P1-Fenger" xr:uid="{9D156376-4D88-4B0A-A635-1107AF7DA3A9}"/>
    <hyperlink ref="D54" r:id="rId247" tooltip="View course assignments" display="'Robotics 2 - P1 &amp; P5" xr:uid="{0E793E90-AE13-4A4D-911A-1BFFC7D944E2}"/>
    <hyperlink ref="F54" r:id="rId248" tooltip="View assignment" display="'2.5 Now Shred! Assignment" xr:uid="{FB83BF4B-EC51-42B4-A918-CA693D559FAE}"/>
    <hyperlink ref="T54" r:id="rId249" tooltip="View assignment" xr:uid="{AE84B235-A255-4236-8C6D-7C03EA65315D}"/>
    <hyperlink ref="U54" r:id="rId250" tooltip="Download zip file of assignments" xr:uid="{9531EFE3-CE94-4CE4-80FF-AF618C40E5FE}"/>
    <hyperlink ref="B55" r:id="rId251" tooltip="View course" display="'1626RA2-P1-Fenger" xr:uid="{96C02EA8-0FAD-4084-9398-F64767B42DBA}"/>
    <hyperlink ref="D55" r:id="rId252" tooltip="View course assignments" display="'Robotics 2 - P1 &amp; P5" xr:uid="{A428AB8D-6BC9-4D62-935D-F4868479F538}"/>
    <hyperlink ref="F55" r:id="rId253" tooltip="View assignment" display="'3.1 How the Pros Do It - Assignment" xr:uid="{1CC5FF1B-AF78-4A4A-B396-2A93ACC5CFDA}"/>
    <hyperlink ref="T55" r:id="rId254" tooltip="View assignment" xr:uid="{6CAB8685-9028-4139-9FED-D7660AFB8BEB}"/>
    <hyperlink ref="U55" r:id="rId255" tooltip="Download zip file of assignments" xr:uid="{0CBF7609-BA04-42A9-AAD0-44ED70A2026A}"/>
    <hyperlink ref="B56" r:id="rId256" tooltip="View course" display="'1626RA2-P1-Fenger" xr:uid="{F53A1E96-66F6-495E-9435-AE6F970533DD}"/>
    <hyperlink ref="D56" r:id="rId257" tooltip="View course assignments" display="'Robotics 2 - P1 &amp; P5" xr:uid="{D5AD8348-ED8A-4112-AE56-E28D48E8D568}"/>
    <hyperlink ref="F56" r:id="rId258" tooltip="View assignment" display="'3.2 One Brick to Rule Them All - Assignment " xr:uid="{B49FC54D-7FF1-4A5D-94F3-08AD31987E4E}"/>
    <hyperlink ref="T56" r:id="rId259" tooltip="View assignment" xr:uid="{EAD14133-CA85-4D02-B569-CD63C7C931C0}"/>
    <hyperlink ref="U56" r:id="rId260" tooltip="Download zip file of assignments" xr:uid="{CEB7B3BD-69C8-46E4-9CB4-9019D6D02F73}"/>
    <hyperlink ref="B57" r:id="rId261" tooltip="View course" display="'1626RA2-P1-Fenger" xr:uid="{1F08EEBA-255B-4C86-B7D0-5455833989B7}"/>
    <hyperlink ref="D57" r:id="rId262" tooltip="View course assignments" display="'Robotics 2 - P1 &amp; P5" xr:uid="{B9D963CE-C0E7-4E2F-ADCD-52ABD1A5EF17}"/>
    <hyperlink ref="F57" r:id="rId263" tooltip="View assignment" display="'3.3 Building Blocks Assignment " xr:uid="{F3890820-4C89-4C4B-A078-14B17585942D}"/>
    <hyperlink ref="T57" r:id="rId264" tooltip="View assignment" xr:uid="{D22E581E-2C73-4D52-9F4C-8D6B8C5B81BE}"/>
    <hyperlink ref="U57" r:id="rId265" tooltip="Download zip file of assignments" xr:uid="{9F2B36FC-A7A3-4FDA-8EF3-8EDC4C193F52}"/>
    <hyperlink ref="B58" r:id="rId266" tooltip="View course" display="'1626RA2-P1-Fenger" xr:uid="{BD0CB8F2-4B3D-4588-B5DB-68992A53D644}"/>
    <hyperlink ref="D58" r:id="rId267" tooltip="View course assignments" display="'Robotics 2 - P1 &amp; P5" xr:uid="{C6D21DC5-7837-45E1-B7F8-90DBC20A2C5C}"/>
    <hyperlink ref="F58" r:id="rId268" tooltip="View assignment" display="'3.4 Instruction Manual Assignment" xr:uid="{EC019512-0E24-4418-BC29-F4F259B8C619}"/>
    <hyperlink ref="T58" r:id="rId269" tooltip="View assignment" xr:uid="{7630F548-5152-4D22-A3DB-73C7CE02EA01}"/>
    <hyperlink ref="U58" r:id="rId270" tooltip="Download zip file of assignments" xr:uid="{71EDFEEC-4827-4F43-8223-00C7A649294E}"/>
    <hyperlink ref="B59" r:id="rId271" tooltip="View course" display="'1626RA2-P1-Fenger" xr:uid="{C5BA12F1-3425-467F-8514-BBBF228E17C5}"/>
    <hyperlink ref="D59" r:id="rId272" tooltip="View course assignments" display="'Robotics 2 - P1 &amp; P5" xr:uid="{254879D3-0CA6-4464-AC41-43C44F2FE1DB}"/>
    <hyperlink ref="F59" r:id="rId273" tooltip="View assignment" display="'4.1 Ring and Spinner Assignment" xr:uid="{DDBA42A6-7419-436A-8239-A2A0C22F105C}"/>
    <hyperlink ref="T59" r:id="rId274" tooltip="View assignment" xr:uid="{7B6E0D6E-4768-4FCF-A9BE-E806EE25E87B}"/>
    <hyperlink ref="U59" r:id="rId275" tooltip="Download zip file of assignments" xr:uid="{8B4E68FC-61E4-4385-9498-A450B0979A6C}"/>
    <hyperlink ref="B60" r:id="rId276" tooltip="View course" display="'1627RT2-P1-Fenger" xr:uid="{86B1BAF1-D9AA-4F09-8E50-27D59BEF36EA}"/>
    <hyperlink ref="D60" r:id="rId277" tooltip="View course assignments" display="'Robotics Advanced 2 - P1 &amp; P5" xr:uid="{B4363BCC-D93B-4EC6-BC78-7303743741A4}"/>
    <hyperlink ref="F60" r:id="rId278" tooltip="View assignment" display="'Sumo Match Video Submission" xr:uid="{33C9C092-517F-4B5B-80E7-3513040E4227}"/>
    <hyperlink ref="T60" r:id="rId279" tooltip="View assignment" xr:uid="{C47A52D5-D373-4E80-8A70-441BC9EDE033}"/>
    <hyperlink ref="U60" r:id="rId280" tooltip="Download zip file of assignments" xr:uid="{5C8FD06E-C80E-4D11-9913-D0156417BB34}"/>
    <hyperlink ref="B61" r:id="rId281" tooltip="View course" display="'1627RT2-P1-Fenger" xr:uid="{4A33A661-089F-4366-9246-33801152393F}"/>
    <hyperlink ref="D61" r:id="rId282" tooltip="View course assignments" display="'Robotics Advanced 2 - P1 &amp; P5" xr:uid="{8B0F8DC8-5A9C-42D9-B6C7-669C35077AEE}"/>
    <hyperlink ref="F61" r:id="rId283" tooltip="View assignment" display="'Organize Your Kits" xr:uid="{7F4F620E-8123-48C2-A4BA-2337AE28BAAE}"/>
    <hyperlink ref="T61" r:id="rId284" tooltip="View assignment" xr:uid="{7E5A5A2F-EA88-4009-AC85-8640C118845D}"/>
    <hyperlink ref="U61" r:id="rId285" tooltip="Download zip file of assignments" xr:uid="{9AF46AF0-7F66-400D-BA85-6EF15C690358}"/>
    <hyperlink ref="B62" r:id="rId286" tooltip="View course" display="'1627RT2-P1-Fenger" xr:uid="{6277167C-17C3-450E-AD38-809F3CB8CEF6}"/>
    <hyperlink ref="D62" r:id="rId287" tooltip="View course assignments" display="'Robotics Advanced 2 - P1 &amp; P5" xr:uid="{A4DBBEBA-394D-48B3-A60D-AD0FF8EFCA84}"/>
    <hyperlink ref="F62" r:id="rId288" tooltip="View assignment" display="'Build the Robo Rally Robot" xr:uid="{961B4611-ACD2-45E4-9F93-6853D6440880}"/>
    <hyperlink ref="T62" r:id="rId289" tooltip="View assignment" xr:uid="{A46BB573-E2E3-4F1F-A3E6-5FDEAF761898}"/>
    <hyperlink ref="U62" r:id="rId290" tooltip="Download zip file of assignments" xr:uid="{8E1D7550-7987-44F6-8FA2-2057A4384953}"/>
    <hyperlink ref="B63" r:id="rId291" tooltip="View course" display="'1627RT2-P1-Fenger" xr:uid="{882EB0AE-A38F-4BE4-85DE-7A2873DAB4DD}"/>
    <hyperlink ref="D63" r:id="rId292" tooltip="View course assignments" display="'Robotics Advanced 2 - P1 &amp; P5" xr:uid="{749C6165-6CE1-474E-8BF6-2909572148CA}"/>
    <hyperlink ref="F63" r:id="rId293" tooltip="View assignment" display="'Medbot 1: Basketball Drills Challenge" xr:uid="{E6BF98AD-C524-4A20-8742-C14107A6A9D5}"/>
    <hyperlink ref="T63" r:id="rId294" tooltip="View assignment" xr:uid="{EEB806CD-1022-4392-8ED5-1AB888BE2D43}"/>
    <hyperlink ref="U63" r:id="rId295" tooltip="Download zip file of assignments" xr:uid="{3D752E6F-4CB4-4098-B57C-5CE4215E0B4B}"/>
    <hyperlink ref="B64" r:id="rId296" tooltip="View course" display="'1627RT2-P1-Fenger" xr:uid="{974D093F-ECCB-4518-96A6-F592B35C1129}"/>
    <hyperlink ref="D64" r:id="rId297" tooltip="View course assignments" display="'Robotics Advanced 2 - P1 &amp; P5" xr:uid="{D00E3AB8-3BFA-4B97-9BC8-E66AB654FC70}"/>
    <hyperlink ref="F64" r:id="rId298" tooltip="View assignment" display="'Medbot 2: Security Camera Challenge!" xr:uid="{9EAADBD5-08CC-4798-88AD-5A8305EE19EC}"/>
    <hyperlink ref="T64" r:id="rId299" tooltip="View assignment" xr:uid="{F3697719-9751-4E71-B092-14507132DA5F}"/>
    <hyperlink ref="U64" r:id="rId300" tooltip="Download zip file of assignments" xr:uid="{E0F29887-C82E-4D68-B81A-A7F7CDA42EAE}"/>
    <hyperlink ref="B65" r:id="rId301" tooltip="View course" display="'1627RT2-P1-Fenger" xr:uid="{BFAB835D-B6F6-4D65-9898-359C7D9E28AC}"/>
    <hyperlink ref="D65" r:id="rId302" tooltip="View course assignments" display="'Robotics Advanced 2 - P1 &amp; P5" xr:uid="{4F1C53E3-CF72-4C3C-871F-D563A784EFBB}"/>
    <hyperlink ref="F65" r:id="rId303" tooltip="View assignment" display="'Medbot 3: &quot;AutoMed&quot; Challenge" xr:uid="{D8E0B25D-9179-4A04-8D71-991523456147}"/>
    <hyperlink ref="T65" r:id="rId304" tooltip="View assignment" xr:uid="{40E24E38-F04F-481F-9023-45478797A202}"/>
    <hyperlink ref="U65" r:id="rId305" tooltip="Download zip file of assignments" xr:uid="{D34F9086-D897-4738-BF81-D3E3180474EB}"/>
    <hyperlink ref="B66" r:id="rId306" tooltip="View course" display="'1627RT2-P1-Fenger" xr:uid="{1D331D2B-BD4E-4971-A67F-923FB22702AB}"/>
    <hyperlink ref="D66" r:id="rId307" tooltip="View course assignments" display="'Robotics Advanced 2 - P1 &amp; P5" xr:uid="{D1160A34-D57C-466C-A807-68FF52DDABBC}"/>
    <hyperlink ref="F66" r:id="rId308" tooltip="View assignment" display="'Build the Clawbot" xr:uid="{B72AA5FB-DE57-48BF-83A4-55A0C6EBFF92}"/>
    <hyperlink ref="T66" r:id="rId309" tooltip="View assignment" xr:uid="{869D6542-2620-4936-83E2-192A981E463A}"/>
    <hyperlink ref="U66" r:id="rId310" tooltip="Download zip file of assignments" xr:uid="{A763E334-A9D1-4E26-BC29-5B5C9320F8F4}"/>
    <hyperlink ref="B67" r:id="rId311" tooltip="View course" display="'1627RT2-P1-Fenger" xr:uid="{8B223E37-31E2-4E52-AAAA-C37B11114761}"/>
    <hyperlink ref="D67" r:id="rId312" tooltip="View course assignments" display="'Robotics Advanced 2 - P1 &amp; P5" xr:uid="{6E682C4A-EDBD-4C37-A418-F4BF64C18AC7}"/>
    <hyperlink ref="F67" r:id="rId313" tooltip="View assignment" display="'Complete the Flight Traffic Controller Challenge" xr:uid="{69D721C5-7F8C-45A8-9AA0-EA59E530EF6F}"/>
    <hyperlink ref="T67" r:id="rId314" tooltip="View assignment" xr:uid="{6CCD0DED-C93E-49EB-AED2-7B11725AC83D}"/>
    <hyperlink ref="U67" r:id="rId315" tooltip="Download zip file of assignments" xr:uid="{794BFB36-F78A-4167-B00C-891A04B26A1D}"/>
    <hyperlink ref="B68" r:id="rId316" tooltip="View course" display="'1627RT2-P1-Fenger" xr:uid="{419CC208-C940-48D9-AD22-025A1D7391E3}"/>
    <hyperlink ref="D68" r:id="rId317" tooltip="View course assignments" display="'Robotics Advanced 2 - P1 &amp; P5" xr:uid="{A5444EA7-5E84-4671-999A-3E95082A3C65}"/>
    <hyperlink ref="F68" r:id="rId318" tooltip="View assignment" display="'Package Dash Challenge" xr:uid="{37CCE583-11A6-4F0F-A37A-218443455017}"/>
    <hyperlink ref="T68" r:id="rId319" tooltip="View assignment" xr:uid="{92F12E6A-CDEC-4BCF-BFEC-0269119A8D5A}"/>
    <hyperlink ref="U68" r:id="rId320" tooltip="Download zip file of assignments" xr:uid="{367B46AF-CA07-4D24-AD71-59B3CA817710}"/>
    <hyperlink ref="B69" r:id="rId321" tooltip="View course" display="'1627RT2-P1-Fenger" xr:uid="{CBC3BCE9-CF78-4B83-9720-B562A17B7124}"/>
    <hyperlink ref="D69" r:id="rId322" tooltip="View course assignments" display="'Robotics Advanced 2 - P1 &amp; P5" xr:uid="{738F4B9D-6DFB-4C32-A566-0D760AA67E88}"/>
    <hyperlink ref="F69" r:id="rId323" tooltip="View assignment" display="'Rotate and Grab" xr:uid="{2D628C0A-E6B1-42A5-B715-9A847722CCD5}"/>
    <hyperlink ref="T69" r:id="rId324" tooltip="View assignment" xr:uid="{BDD0B212-07BA-4408-80A8-26088272BD10}"/>
    <hyperlink ref="U69" r:id="rId325" tooltip="Download zip file of assignments" xr:uid="{D1930F21-EA4D-4223-B7FA-77272ABBE6B0}"/>
    <hyperlink ref="B70" r:id="rId326" tooltip="View course" display="'1627RT2-P1-Fenger" xr:uid="{FC93E526-86FC-4743-8ECF-FD095274ACB9}"/>
    <hyperlink ref="D70" r:id="rId327" tooltip="View course assignments" display="'Robotics Advanced 2 - P1 &amp; P5" xr:uid="{F361BC45-AFB2-4DAC-8093-AF3B23841B1A}"/>
    <hyperlink ref="F70" r:id="rId328" tooltip="View assignment" display="'1.1 Jumping into Onshape Assignment" xr:uid="{C9A8A7E5-5801-4C52-9DA8-ED07B571C0BB}"/>
    <hyperlink ref="T70" r:id="rId329" tooltip="View assignment" xr:uid="{43582F4E-BF60-4A77-9F32-E3CFD842E278}"/>
    <hyperlink ref="U70" r:id="rId330" tooltip="Download zip file of assignments" xr:uid="{4274CC94-BA67-4A81-A8FD-D6A629894F0F}"/>
    <hyperlink ref="B71" r:id="rId331" tooltip="View course" display="'1627RT2-P1-Fenger" xr:uid="{DE10DB4A-65A2-451E-8737-EFC2EE54C5A5}"/>
    <hyperlink ref="D71" r:id="rId332" tooltip="View course assignments" display="'Robotics Advanced 2 - P1 &amp; P5" xr:uid="{15228AA6-3921-4397-AA86-7D305EDF42E3}"/>
    <hyperlink ref="F71" r:id="rId333" tooltip="View assignment" display="'1.2 Viewing Objects in Onshape Assignment" xr:uid="{3EFEB2C9-9426-4A66-9571-AB0AA359FC88}"/>
    <hyperlink ref="T71" r:id="rId334" tooltip="View assignment" xr:uid="{38F7A680-2BE2-4A5B-9526-594CDED83B54}"/>
    <hyperlink ref="U71" r:id="rId335" tooltip="Download zip file of assignments" xr:uid="{454C01F9-95DE-42AC-B019-83D95C3E58B4}"/>
    <hyperlink ref="B72" r:id="rId336" tooltip="View course" display="'1627RT2-P1-Fenger" xr:uid="{9BFA98EF-9366-4612-82EC-C3B4FC6CAE82}"/>
    <hyperlink ref="D72" r:id="rId337" tooltip="View course assignments" display="'Robotics Advanced 2 - P1 &amp; P5" xr:uid="{86F30256-1EB6-4220-9AB1-16EA7919C094}"/>
    <hyperlink ref="F72" r:id="rId338" tooltip="View assignment" display="'1.3 Looking Deeper Assignment" xr:uid="{9E0DAB2F-BD94-4FA3-A574-0862D152C528}"/>
    <hyperlink ref="T72" r:id="rId339" tooltip="View assignment" xr:uid="{EC09E8EE-2CB9-4FF6-9FDF-7EDA968A9CA6}"/>
    <hyperlink ref="U72" r:id="rId340" tooltip="Download zip file of assignments" xr:uid="{095AD6F9-FCCA-471C-B2B1-152B5B71C784}"/>
    <hyperlink ref="B73" r:id="rId341" tooltip="View course" display="'1627RT2-P1-Fenger" xr:uid="{D87C69FB-B505-42B9-8820-6147D23E4D4C}"/>
    <hyperlink ref="D73" r:id="rId342" tooltip="View course assignments" display="'Robotics Advanced 2 - P1 &amp; P5" xr:uid="{57E8C044-AC6F-467E-8710-7879369BD7F8}"/>
    <hyperlink ref="F73" r:id="rId343" tooltip="View assignment" display="'Unit 1 Summative Assessment" xr:uid="{59987D29-F54F-4120-B04B-DB631AD9BF16}"/>
    <hyperlink ref="T73" r:id="rId344" tooltip="View assignment" xr:uid="{3B15AEDF-99DA-4C7B-8D29-DCCB77F02468}"/>
    <hyperlink ref="U73" r:id="rId345" tooltip="Download zip file of assignments" xr:uid="{4ED77F8A-5248-4F85-A2FF-9376322D716B}"/>
    <hyperlink ref="B74" r:id="rId346" tooltip="View course" display="'1627RT2-P1-Fenger" xr:uid="{51BA2A23-CBF8-41A3-BCCD-F67952A49AB3}"/>
    <hyperlink ref="D74" r:id="rId347" tooltip="View course assignments" display="'Robotics Advanced 2 - P1 &amp; P5" xr:uid="{16299967-415C-40F6-847F-349584FA7FE0}"/>
    <hyperlink ref="F74" r:id="rId348" tooltip="View assignment" display="'2.1 Designing the Deck Assignment" xr:uid="{F29E89E5-64EF-4514-9837-553E58E511D4}"/>
    <hyperlink ref="T74" r:id="rId349" tooltip="View assignment" xr:uid="{5033C5E5-496A-473E-BBC2-5F52C8969435}"/>
    <hyperlink ref="U74" r:id="rId350" tooltip="Download zip file of assignments" xr:uid="{F9F8C79C-E454-4529-B4AD-CF6FE5A56A6E}"/>
    <hyperlink ref="B75" r:id="rId351" tooltip="View course" display="'1627RT2-P1-Fenger" xr:uid="{BA5833CA-B7B6-4B45-B21F-E0C770BE4D37}"/>
    <hyperlink ref="D75" r:id="rId352" tooltip="View course assignments" display="'Robotics Advanced 2 - P1 &amp; P5" xr:uid="{2210815A-EBBC-4A98-B9C7-B6DE215A3980}"/>
    <hyperlink ref="F75" r:id="rId353" tooltip="View assignment" display="'2.2 Designing the Trucks - Assignment" xr:uid="{88834282-17C9-427A-9E97-CD928FD48D44}"/>
    <hyperlink ref="T75" r:id="rId354" tooltip="View assignment" xr:uid="{9B4743C2-EDCC-4A7C-9B64-62E08ED654EA}"/>
    <hyperlink ref="U75" r:id="rId355" tooltip="Download zip file of assignments" xr:uid="{D19BB3C5-5E3B-484B-83EE-855FD8D35D35}"/>
    <hyperlink ref="B76" r:id="rId356" tooltip="View course" display="'1627RT2-P1-Fenger" xr:uid="{044C7260-E565-42B9-A880-0447DD6F60F7}"/>
    <hyperlink ref="D76" r:id="rId357" tooltip="View course assignments" display="'Robotics Advanced 2 - P1 &amp; P5" xr:uid="{E13B1D65-5976-445F-984D-DF526FE9E986}"/>
    <hyperlink ref="F76" r:id="rId358" tooltip="View assignment" display="'2.3 Wheels and Bearings Assignment" xr:uid="{9AD68DE5-3657-4FB8-9E94-0EB962D17FFD}"/>
    <hyperlink ref="T76" r:id="rId359" tooltip="View assignment" xr:uid="{6B762CE4-3C7E-4661-A91F-F4E3ED5B8678}"/>
    <hyperlink ref="U76" r:id="rId360" tooltip="Download zip file of assignments" xr:uid="{8E2036DB-71F6-4478-BB1F-5352291023F3}"/>
    <hyperlink ref="B77" r:id="rId361" tooltip="View course" display="'1627RT2-P1-Fenger" xr:uid="{8CF8786A-F459-40FA-8CFC-AEDCA693805C}"/>
    <hyperlink ref="D77" r:id="rId362" tooltip="View course assignments" display="'Robotics Advanced 2 - P1 &amp; P5" xr:uid="{A0C7E13E-E2A7-4550-AA52-275AC2A0BFF9}"/>
    <hyperlink ref="F77" r:id="rId363" tooltip="View assignment" display="'2.4 Putting It All Together - Assignment" xr:uid="{3D6CD32D-D4C7-424E-AE4D-5DE02F85A7D6}"/>
    <hyperlink ref="T77" r:id="rId364" tooltip="View assignment" xr:uid="{DCB72EB6-8DAE-4E48-9556-6740206D127C}"/>
    <hyperlink ref="U77" r:id="rId365" tooltip="Download zip file of assignments" xr:uid="{0F0E9D7B-3CD0-456F-BE78-EF58372E4059}"/>
    <hyperlink ref="B78" r:id="rId366" tooltip="View course" display="'1627RT2-P1-Fenger" xr:uid="{B17DC479-273C-4E67-8177-9EB2050F8646}"/>
    <hyperlink ref="D78" r:id="rId367" tooltip="View course assignments" display="'Robotics Advanced 2 - P1 &amp; P5" xr:uid="{DB16688F-F136-404B-9BA7-6F288FC6747F}"/>
    <hyperlink ref="F78" r:id="rId368" tooltip="View assignment" display="'2.5 Now Shred! Assignment" xr:uid="{E8C92ED5-EA56-4F4C-A39F-21428FC8D37D}"/>
    <hyperlink ref="T78" r:id="rId369" tooltip="View assignment" xr:uid="{BB9597EF-D69C-4C00-B519-F724C662B078}"/>
    <hyperlink ref="U78" r:id="rId370" tooltip="Download zip file of assignments" xr:uid="{D11E4835-221F-4206-A743-2016D90FFE82}"/>
    <hyperlink ref="B79" r:id="rId371" tooltip="View course" display="'1627RT2-P1-Fenger" xr:uid="{9BF58F2B-20A2-4502-A6DE-9A6244B0D541}"/>
    <hyperlink ref="D79" r:id="rId372" tooltip="View course assignments" display="'Robotics Advanced 2 - P1 &amp; P5" xr:uid="{79B87D1C-5730-464C-9F64-2C2CED73F0FA}"/>
    <hyperlink ref="F79" r:id="rId373" tooltip="View assignment" display="'3.1 How the Pros Do It - Assignment" xr:uid="{A9009B7E-CC26-4BAF-AF80-9F5D6CB52437}"/>
    <hyperlink ref="T79" r:id="rId374" tooltip="View assignment" xr:uid="{92745FE3-C6F8-4732-A8C9-C0292BAE5F25}"/>
    <hyperlink ref="U79" r:id="rId375" tooltip="Download zip file of assignments" xr:uid="{9BB379A8-4059-4DFC-9184-B1D23D0EFB38}"/>
    <hyperlink ref="B80" r:id="rId376" tooltip="View course" display="'1627RT2-P1-Fenger" xr:uid="{88FFCD5A-1A7F-43C3-8AF2-7234094B1933}"/>
    <hyperlink ref="D80" r:id="rId377" tooltip="View course assignments" display="'Robotics Advanced 2 - P1 &amp; P5" xr:uid="{B45E4B28-0619-47BB-9CD8-7EB1FC240AEB}"/>
    <hyperlink ref="F80" r:id="rId378" tooltip="View assignment" display="'Turn Grab and Place" xr:uid="{8F31CD9F-B5B9-4D7D-B4F6-203E8A4282F4}"/>
    <hyperlink ref="T80" r:id="rId379" tooltip="View assignment" xr:uid="{BFE28D19-8205-4A9D-8C6C-95A3B6DBC108}"/>
    <hyperlink ref="U80" r:id="rId380" tooltip="Download zip file of assignments" xr:uid="{636D06B6-EB14-4CF9-A052-23ED65EF897E}"/>
    <hyperlink ref="B81" r:id="rId381" tooltip="View course" display="'1627RT2-P1-Fenger" xr:uid="{317A5ABD-43A3-4625-BBE5-4C083F4DCB4D}"/>
    <hyperlink ref="D81" r:id="rId382" tooltip="View course assignments" display="'Robotics Advanced 2 - P1 &amp; P5" xr:uid="{97D72D4A-9E0F-4B7B-93A0-E96B180B42E7}"/>
    <hyperlink ref="F81" r:id="rId383" tooltip="View assignment" display="'3.2 One Brick to Rule Them All - Assignment " xr:uid="{E86C87CD-F4E4-4088-B120-BCED67C96572}"/>
    <hyperlink ref="T81" r:id="rId384" tooltip="View assignment" xr:uid="{E55F2A03-5866-49CA-8CB5-6C1FA6E95FD8}"/>
    <hyperlink ref="U81" r:id="rId385" tooltip="Download zip file of assignments" xr:uid="{EC0D8149-502C-470E-A473-63C4199A4E29}"/>
    <hyperlink ref="B82" r:id="rId386" tooltip="View course" display="'1627RT2-P1-Fenger" xr:uid="{6E426D7E-1726-4CD2-BA8D-057FB6EB0515}"/>
    <hyperlink ref="D82" r:id="rId387" tooltip="View course assignments" display="'Robotics Advanced 2 - P1 &amp; P5" xr:uid="{70BCD815-1D59-46A8-9CB5-D086833D153B}"/>
    <hyperlink ref="F82" r:id="rId388" tooltip="View assignment" display="'3.3 Building Blocks Assignment " xr:uid="{36BB3806-6975-4A94-8890-62BB0FE881B9}"/>
    <hyperlink ref="T82" r:id="rId389" tooltip="View assignment" xr:uid="{90A17A9B-2D65-4445-B3B2-3FC8A00EF956}"/>
    <hyperlink ref="U82" r:id="rId390" tooltip="Download zip file of assignments" xr:uid="{E67D98A5-0145-441E-B89B-243CD6467DDB}"/>
    <hyperlink ref="B83" r:id="rId391" tooltip="View course" display="'1627RT2-P1-Fenger" xr:uid="{2D3B0A28-D3E2-4A55-9FE5-DCA68730D79E}"/>
    <hyperlink ref="D83" r:id="rId392" tooltip="View course assignments" display="'Robotics Advanced 2 - P1 &amp; P5" xr:uid="{AD22BF8A-DB29-44A9-BDFD-748D84E488CC}"/>
    <hyperlink ref="F83" r:id="rId393" tooltip="View assignment" display="'3.4 Instruction Manual Assignment" xr:uid="{8315CF59-C92C-4DCD-A795-25D341EC3F03}"/>
    <hyperlink ref="T83" r:id="rId394" tooltip="View assignment" xr:uid="{4B29F5BF-925D-4738-889F-FFB9F77B2FE2}"/>
    <hyperlink ref="U83" r:id="rId395" tooltip="Download zip file of assignments" xr:uid="{7A41B895-5961-4981-A8FF-47BFBD8FE30C}"/>
    <hyperlink ref="B84" r:id="rId396" tooltip="View course" display="'1627RT2-P1-Fenger" xr:uid="{D54054F9-F4CA-4336-AA35-DE9851B90816}"/>
    <hyperlink ref="D84" r:id="rId397" tooltip="View course assignments" display="'Robotics Advanced 2 - P1 &amp; P5" xr:uid="{C23CEB06-E072-4C6A-A4FD-76C0926FA896}"/>
    <hyperlink ref="F84" r:id="rId398" tooltip="View assignment" display="'4.1 Ring and Spinner Assignment" xr:uid="{C7CD1F8A-BC96-4D18-98AA-BD99D44E1381}"/>
    <hyperlink ref="T84" r:id="rId399" tooltip="View assignment" xr:uid="{3283A0A6-DD68-4B34-A0AC-5EA2933557D4}"/>
    <hyperlink ref="U84" r:id="rId400" tooltip="Download zip file of assignments" xr:uid="{CBBD6566-4109-4DCA-8EF6-13BD947B893D}"/>
    <hyperlink ref="B85" r:id="rId401" tooltip="View course" display="'1627RT2-P1-Fenger" xr:uid="{3827DAB3-D762-4E6E-984F-703D22AE568B}"/>
    <hyperlink ref="D85" r:id="rId402" tooltip="View course assignments" display="'Robotics Advanced 2 - P1 &amp; P5" xr:uid="{C5AE0F90-E749-43E6-98C8-474CABA215D1}"/>
    <hyperlink ref="F85" r:id="rId403" tooltip="View assignment" display="'Soccer Video" xr:uid="{5AD8AD91-057D-42A3-9AF8-50DACBEA2C06}"/>
    <hyperlink ref="T85" r:id="rId404" tooltip="View assignment" xr:uid="{9A81473E-6523-424D-AFA8-858BB5DC2C98}"/>
    <hyperlink ref="U85" r:id="rId405" tooltip="Download zip file of assignments" xr:uid="{AC0BB50F-3082-4E41-9F88-EB15CF8B3641}"/>
  </hyperlinks>
  <pageMargins left="0.25" right="0.25" top="0.75" bottom="0.75" header="0.3" footer="0.3"/>
  <pageSetup paperSize="9" scale="79" pageOrder="overThenDown" orientation="landscape" r:id="rId406"/>
  <headerFooter>
    <oddFooter>Page &amp;P of &amp;N</oddFooter>
  </headerFooter>
  <drawing r:id="rId407"/>
  <legacyDrawing r:id="rId408"/>
  <tableParts count="1">
    <tablePart r:id="rId409"/>
  </tableParts>
  <extLst>
    <ext xmlns:x14="http://schemas.microsoft.com/office/spreadsheetml/2009/9/main" uri="{78C0D931-6437-407d-A8EE-F0AAD7539E65}">
      <x14:conditionalFormattings>
        <x14:conditionalFormatting xmlns:xm="http://schemas.microsoft.com/office/excel/2006/main">
          <x14:cfRule type="dataBar" id="{1219BC71-6E4D-4FBD-8215-FAE4811FE6AD}">
            <x14:dataBar minLength="0" maxLength="100" border="1" negativeBarBorderColorSameAsPositive="0">
              <x14:cfvo type="num">
                <xm:f>0</xm:f>
              </x14:cfvo>
              <x14:cfvo type="num">
                <xm:f>1</xm:f>
              </x14:cfvo>
              <x14:borderColor rgb="FF92D050"/>
              <x14:negativeFillColor rgb="FFFF0000"/>
              <x14:negativeBorderColor rgb="FFFF0000"/>
              <x14:axisColor rgb="FF000000"/>
            </x14:dataBar>
          </x14:cfRule>
          <xm:sqref>B3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102"/>
  <sheetViews>
    <sheetView zoomScaleNormal="100" workbookViewId="0">
      <pane ySplit="1" topLeftCell="A2" activePane="bottomLeft" state="frozen"/>
      <selection pane="bottomLeft" activeCell="C2" sqref="C2"/>
    </sheetView>
  </sheetViews>
  <sheetFormatPr defaultColWidth="9.140625" defaultRowHeight="15" x14ac:dyDescent="0.25"/>
  <cols>
    <col min="1" max="1" width="43.42578125" style="15" bestFit="1" customWidth="1"/>
    <col min="2" max="4" width="9.140625" style="15" customWidth="1"/>
    <col min="5" max="5" width="67.7109375" style="15" customWidth="1"/>
    <col min="6" max="6" width="14.5703125" style="14" customWidth="1"/>
    <col min="7" max="16384" width="9.140625" style="15"/>
  </cols>
  <sheetData>
    <row r="1" spans="1:6" x14ac:dyDescent="0.25">
      <c r="A1" s="17" t="s">
        <v>82</v>
      </c>
      <c r="B1" s="17" t="s">
        <v>9</v>
      </c>
      <c r="C1" s="17" t="s">
        <v>91</v>
      </c>
      <c r="D1" s="17" t="s">
        <v>92</v>
      </c>
      <c r="E1" s="17" t="s">
        <v>93</v>
      </c>
    </row>
    <row r="2" spans="1:6" s="23" customFormat="1" x14ac:dyDescent="0.25">
      <c r="A2" s="32" t="s">
        <v>210</v>
      </c>
      <c r="C2" s="30">
        <f>'Main report'!$B$2</f>
        <v>0</v>
      </c>
      <c r="F2" s="31"/>
    </row>
    <row r="3" spans="1:6" x14ac:dyDescent="0.25">
      <c r="A3" s="15" t="s">
        <v>94</v>
      </c>
      <c r="B3" s="15">
        <f>COUNTA(MainReport[workflow_state])</f>
        <v>81</v>
      </c>
      <c r="E3" s="23" t="s">
        <v>200</v>
      </c>
      <c r="F3" s="16"/>
    </row>
    <row r="4" spans="1:6" x14ac:dyDescent="0.25">
      <c r="A4" s="15" t="s">
        <v>198</v>
      </c>
      <c r="B4" s="15">
        <f t="array" ref="B4">SUM(IF(ISBLANK(MainReport[course_code]),"",1/COUNTIF(MainReport[course_code],MainReport[course_code])))</f>
        <v>4.9999999999999938</v>
      </c>
      <c r="C4" s="22">
        <f>IFERROR($B$4/$B$4,0)</f>
        <v>1</v>
      </c>
      <c r="D4" s="22"/>
      <c r="E4" s="23"/>
    </row>
    <row r="5" spans="1:6" x14ac:dyDescent="0.25">
      <c r="A5" s="15" t="s">
        <v>95</v>
      </c>
      <c r="B5" s="15">
        <f>$B$4-$B$6</f>
        <v>4.9999999999999938</v>
      </c>
      <c r="C5" s="22">
        <f>IFERROR($B$5/$B$4,0)</f>
        <v>1</v>
      </c>
      <c r="D5" s="22"/>
      <c r="E5" s="23"/>
    </row>
    <row r="6" spans="1:6" x14ac:dyDescent="0.25">
      <c r="A6" s="15" t="s">
        <v>96</v>
      </c>
      <c r="B6" s="15">
        <f>$B$3-COUNTA(MainReport[ass. id])</f>
        <v>0</v>
      </c>
      <c r="C6" s="22">
        <f>IFERROR($B$6/$B$4,0)</f>
        <v>0</v>
      </c>
      <c r="D6" s="22"/>
      <c r="E6" s="23"/>
    </row>
    <row r="7" spans="1:6" x14ac:dyDescent="0.25">
      <c r="A7" s="15" t="s">
        <v>196</v>
      </c>
      <c r="C7" s="22"/>
      <c r="D7" s="22"/>
      <c r="E7" s="28"/>
      <c r="F7" s="16"/>
    </row>
    <row r="8" spans="1:6" x14ac:dyDescent="0.25">
      <c r="A8" s="14" t="s">
        <v>223</v>
      </c>
      <c r="B8" s="15">
        <f t="array" ref="B8">SUM(IF(MainReport[workflow_state]="deleted", 1/(COUNTIFS(MainReport[workflow_state],"deleted", MainReport[course_code], MainReport[course_code])), 0))</f>
        <v>0</v>
      </c>
      <c r="C8" s="22">
        <f>IFERROR($B$8/$B$4,0)</f>
        <v>0</v>
      </c>
      <c r="D8" s="22"/>
      <c r="E8" s="23"/>
    </row>
    <row r="9" spans="1:6" x14ac:dyDescent="0.25">
      <c r="A9" s="14" t="s">
        <v>224</v>
      </c>
      <c r="B9" s="15">
        <f t="array" ref="B9">SUM(IF(MainReport[workflow_state]="unpublished", 1/(COUNTIFS(MainReport[workflow_state],"unpublished", MainReport[course_code], MainReport[course_code])), 0))</f>
        <v>0</v>
      </c>
      <c r="C9" s="22">
        <f>IFERROR($B9/$B$4,0)</f>
        <v>0</v>
      </c>
      <c r="D9" s="22"/>
      <c r="E9" s="23"/>
    </row>
    <row r="10" spans="1:6" x14ac:dyDescent="0.25">
      <c r="A10" s="14" t="s">
        <v>225</v>
      </c>
      <c r="B10" s="15">
        <f t="array" ref="B10">SUM(IF(MainReport[workflow_state]="available", 1/(COUNTIFS(MainReport[workflow_state],"available", MainReport[course_code], MainReport[course_code])), 0))</f>
        <v>4.9999999999999938</v>
      </c>
      <c r="C10" s="22">
        <f>IFERROR($B10/$B$4,0)</f>
        <v>1</v>
      </c>
      <c r="D10" s="22"/>
      <c r="E10" s="23"/>
    </row>
    <row r="11" spans="1:6" x14ac:dyDescent="0.25">
      <c r="A11" s="14" t="s">
        <v>226</v>
      </c>
      <c r="B11" s="15">
        <f t="array" ref="B11">SUM(IF(MainReport[workflow_state]="completed", 1/(COUNTIFS(MainReport[workflow_state],"completed", MainReport[course_code], MainReport[course_code])), 0))</f>
        <v>0</v>
      </c>
      <c r="C11" s="22">
        <f>IFERROR($B11/$B$4,0)</f>
        <v>0</v>
      </c>
      <c r="D11" s="22"/>
      <c r="E11" s="23"/>
    </row>
    <row r="12" spans="1:6" x14ac:dyDescent="0.25">
      <c r="A12" s="15" t="s">
        <v>195</v>
      </c>
      <c r="B12" s="15">
        <f>COUNTA(MainReport[ass. id])</f>
        <v>81</v>
      </c>
      <c r="C12" s="22">
        <f>IFERROR($B12/$B$12,0)</f>
        <v>1</v>
      </c>
      <c r="D12" s="22"/>
      <c r="E12" s="23"/>
    </row>
    <row r="13" spans="1:6" x14ac:dyDescent="0.25">
      <c r="A13" s="14" t="s">
        <v>219</v>
      </c>
      <c r="B13" s="15">
        <f>SUMPRODUCT((MainReport[workflow_state]="unpublished")*(MainReport[ass. id]&lt;&gt;""))</f>
        <v>0</v>
      </c>
      <c r="C13" s="22">
        <f>IFERROR($B13/$B$12,0)</f>
        <v>0</v>
      </c>
      <c r="D13" s="22"/>
      <c r="E13" s="23"/>
    </row>
    <row r="14" spans="1:6" x14ac:dyDescent="0.25">
      <c r="A14" s="14" t="s">
        <v>218</v>
      </c>
      <c r="B14" s="15">
        <f>SUMPRODUCT((MainReport[workflow_state]="available")*(MainReport[ass. id]&lt;&gt;""))</f>
        <v>81</v>
      </c>
      <c r="C14" s="22">
        <f>IFERROR($B14/$B$12,0)</f>
        <v>1</v>
      </c>
      <c r="D14" s="22"/>
      <c r="E14" s="23"/>
    </row>
    <row r="15" spans="1:6" x14ac:dyDescent="0.25">
      <c r="A15" s="15" t="s">
        <v>215</v>
      </c>
      <c r="C15" s="22"/>
      <c r="D15" s="22"/>
      <c r="E15" s="23"/>
    </row>
    <row r="16" spans="1:6" x14ac:dyDescent="0.25">
      <c r="A16" s="39" t="s">
        <v>211</v>
      </c>
      <c r="B16" s="15">
        <f>COUNTIF(MainReport[assignment_name],"*"&amp;$A16&amp;"*")</f>
        <v>0</v>
      </c>
      <c r="C16" s="33">
        <f>IFERROR($B17/$B$12,0)</f>
        <v>0.48148148148148145</v>
      </c>
      <c r="D16" s="22"/>
      <c r="E16" s="23"/>
    </row>
    <row r="17" spans="1:6" x14ac:dyDescent="0.25">
      <c r="A17" s="39" t="s">
        <v>220</v>
      </c>
      <c r="B17" s="15">
        <f>COUNTIF(MainReport[assignment_name],"*"&amp;$A17&amp;"*")</f>
        <v>39</v>
      </c>
      <c r="C17" s="33">
        <f>IFERROR($B16/$B$12,0)</f>
        <v>0</v>
      </c>
      <c r="D17" s="22"/>
      <c r="E17" s="23"/>
    </row>
    <row r="18" spans="1:6" x14ac:dyDescent="0.25">
      <c r="A18" s="39" t="s">
        <v>230</v>
      </c>
      <c r="B18" s="15">
        <f>COUNTIF(MainReport[assignment_name],"*"&amp;$A18&amp;"*")</f>
        <v>0</v>
      </c>
      <c r="C18" s="33">
        <f t="shared" ref="C18:C27" si="0">IFERROR($B18/$B$12,0)</f>
        <v>0</v>
      </c>
      <c r="D18" s="22"/>
      <c r="E18" s="23"/>
    </row>
    <row r="19" spans="1:6" x14ac:dyDescent="0.25">
      <c r="A19" s="39" t="s">
        <v>212</v>
      </c>
      <c r="B19" s="15">
        <f>COUNTIF(MainReport[assignment_name],"*"&amp;$A19&amp;"*")</f>
        <v>0</v>
      </c>
      <c r="C19" s="33">
        <f t="shared" si="0"/>
        <v>0</v>
      </c>
      <c r="D19" s="22"/>
      <c r="E19" s="23"/>
      <c r="F19" s="15"/>
    </row>
    <row r="20" spans="1:6" x14ac:dyDescent="0.25">
      <c r="A20" s="39" t="s">
        <v>228</v>
      </c>
      <c r="B20" s="15">
        <f>COUNTIF(MainReport[assignment_name],"*"&amp;$A20&amp;"*")</f>
        <v>0</v>
      </c>
      <c r="C20" s="33">
        <f t="shared" si="0"/>
        <v>0</v>
      </c>
      <c r="D20" s="22"/>
      <c r="E20" s="23"/>
      <c r="F20" s="15"/>
    </row>
    <row r="21" spans="1:6" x14ac:dyDescent="0.25">
      <c r="A21" s="39" t="s">
        <v>213</v>
      </c>
      <c r="B21" s="15">
        <f>COUNTIF(MainReport[assignment_name],"*"&amp;$A21&amp;"*")</f>
        <v>0</v>
      </c>
      <c r="C21" s="33">
        <f t="shared" si="0"/>
        <v>0</v>
      </c>
      <c r="D21" s="22"/>
      <c r="E21" s="23"/>
      <c r="F21" s="15"/>
    </row>
    <row r="22" spans="1:6" x14ac:dyDescent="0.25">
      <c r="A22" s="39" t="s">
        <v>222</v>
      </c>
      <c r="B22" s="15">
        <f>COUNTIF(MainReport[assignment_name],"*"&amp;$A22&amp;"*")</f>
        <v>0</v>
      </c>
      <c r="C22" s="33">
        <f t="shared" si="0"/>
        <v>0</v>
      </c>
      <c r="D22" s="22"/>
      <c r="E22" s="23"/>
      <c r="F22" s="15"/>
    </row>
    <row r="23" spans="1:6" x14ac:dyDescent="0.25">
      <c r="A23" s="39" t="s">
        <v>214</v>
      </c>
      <c r="B23" s="15">
        <f>COUNTIF(MainReport[assignment_name],"*"&amp;$A23&amp;"*")</f>
        <v>0</v>
      </c>
      <c r="C23" s="33">
        <f t="shared" si="0"/>
        <v>0</v>
      </c>
      <c r="D23" s="22"/>
      <c r="E23" s="23"/>
      <c r="F23" s="15"/>
    </row>
    <row r="24" spans="1:6" x14ac:dyDescent="0.25">
      <c r="A24" s="39" t="s">
        <v>216</v>
      </c>
      <c r="B24" s="15">
        <f>COUNTIF(MainReport[assignment_name],"*"&amp;$A24&amp;"*")</f>
        <v>0</v>
      </c>
      <c r="C24" s="33">
        <f t="shared" si="0"/>
        <v>0</v>
      </c>
      <c r="D24" s="22"/>
      <c r="E24" s="23"/>
      <c r="F24" s="15"/>
    </row>
    <row r="25" spans="1:6" x14ac:dyDescent="0.25">
      <c r="A25" s="39" t="s">
        <v>221</v>
      </c>
      <c r="B25" s="15">
        <f>COUNTIF(MainReport[assignment_name],"*"&amp;$A25&amp;"*")</f>
        <v>0</v>
      </c>
      <c r="C25" s="33">
        <f t="shared" si="0"/>
        <v>0</v>
      </c>
      <c r="D25" s="22"/>
      <c r="E25" s="23"/>
      <c r="F25" s="15"/>
    </row>
    <row r="26" spans="1:6" x14ac:dyDescent="0.25">
      <c r="A26" s="39" t="s">
        <v>227</v>
      </c>
      <c r="B26" s="15">
        <f>COUNTIF(MainReport[assignment_name],"*"&amp;$A26&amp;"*")</f>
        <v>0</v>
      </c>
      <c r="C26" s="33">
        <f t="shared" si="0"/>
        <v>0</v>
      </c>
      <c r="D26" s="22"/>
      <c r="E26" s="23"/>
      <c r="F26" s="15"/>
    </row>
    <row r="27" spans="1:6" x14ac:dyDescent="0.25">
      <c r="A27" s="39" t="s">
        <v>227</v>
      </c>
      <c r="B27" s="15">
        <f>COUNTIF(MainReport[assignment_name],"*"&amp;$A27&amp;"*")</f>
        <v>0</v>
      </c>
      <c r="C27" s="33">
        <f t="shared" si="0"/>
        <v>0</v>
      </c>
      <c r="D27" s="22"/>
      <c r="E27" s="23"/>
      <c r="F27" s="15"/>
    </row>
    <row r="28" spans="1:6" x14ac:dyDescent="0.25">
      <c r="A28" s="15" t="s">
        <v>197</v>
      </c>
      <c r="E28" s="23"/>
      <c r="F28" s="15"/>
    </row>
    <row r="29" spans="1:6" x14ac:dyDescent="0.25">
      <c r="A29" s="14" t="s">
        <v>97</v>
      </c>
      <c r="B29" s="15">
        <f>COUNTIF(MainReport[description],"&gt;0")</f>
        <v>41</v>
      </c>
      <c r="C29" s="22">
        <f>IFERROR($B29/$B$12,0)</f>
        <v>0.50617283950617287</v>
      </c>
      <c r="D29" s="22"/>
      <c r="E29" s="23"/>
      <c r="F29" s="15"/>
    </row>
    <row r="30" spans="1:6" x14ac:dyDescent="0.25">
      <c r="A30" s="14" t="s">
        <v>98</v>
      </c>
      <c r="B30" s="15">
        <f>COUNTIF(MainReport[description],0)</f>
        <v>40</v>
      </c>
      <c r="C30" s="22">
        <f>IFERROR($B30/$B$12,0)</f>
        <v>0.49382716049382713</v>
      </c>
      <c r="D30" s="22"/>
      <c r="E30" s="23"/>
      <c r="F30" s="15"/>
    </row>
    <row r="31" spans="1:6" x14ac:dyDescent="0.25">
      <c r="A31" s="15" t="s">
        <v>199</v>
      </c>
      <c r="C31" s="22"/>
      <c r="D31" s="22"/>
      <c r="E31" s="23"/>
      <c r="F31" s="15"/>
    </row>
    <row r="32" spans="1:6" x14ac:dyDescent="0.25">
      <c r="A32" s="14" t="s">
        <v>45</v>
      </c>
      <c r="B32" s="15">
        <f>COUNTIF(MainReport[published],1)</f>
        <v>81</v>
      </c>
      <c r="C32" s="22">
        <f>IFERROR($B32/$B$12,0)</f>
        <v>1</v>
      </c>
      <c r="D32" s="22"/>
      <c r="E32" s="23"/>
      <c r="F32" s="15"/>
    </row>
    <row r="33" spans="1:6" x14ac:dyDescent="0.25">
      <c r="A33" s="14" t="s">
        <v>83</v>
      </c>
      <c r="B33" s="15">
        <f>COUNTIF(MainReport[published],0)</f>
        <v>0</v>
      </c>
      <c r="C33" s="22">
        <f>IFERROR($B33/$B$12,0)</f>
        <v>0</v>
      </c>
      <c r="D33" s="22"/>
      <c r="E33" s="23"/>
      <c r="F33" s="15"/>
    </row>
    <row r="34" spans="1:6" x14ac:dyDescent="0.25">
      <c r="A34" s="14" t="s">
        <v>46</v>
      </c>
      <c r="B34" s="15">
        <f>COUNTIF(MainReport[unpublishable],1)</f>
        <v>2</v>
      </c>
      <c r="C34" s="22">
        <f>IFERROR($B34/$B$12,0)</f>
        <v>2.4691358024691357E-2</v>
      </c>
      <c r="D34" s="22"/>
      <c r="E34" s="23"/>
      <c r="F34" s="15"/>
    </row>
    <row r="35" spans="1:6" x14ac:dyDescent="0.25">
      <c r="A35" s="15" t="s">
        <v>202</v>
      </c>
      <c r="C35" s="22"/>
      <c r="D35" s="22"/>
      <c r="E35" s="23"/>
    </row>
    <row r="36" spans="1:6" x14ac:dyDescent="0.25">
      <c r="A36" s="14" t="s">
        <v>16</v>
      </c>
      <c r="B36" s="15">
        <f>COUNTA(MainReport[due_at])</f>
        <v>76</v>
      </c>
      <c r="C36" s="22">
        <f>IFERROR($B36/$B$12,0)</f>
        <v>0.93827160493827155</v>
      </c>
      <c r="D36" s="22"/>
    </row>
    <row r="37" spans="1:6" x14ac:dyDescent="0.25">
      <c r="A37" s="14" t="s">
        <v>17</v>
      </c>
      <c r="B37" s="15">
        <f>COUNTA(MainReport[lock_at])</f>
        <v>0</v>
      </c>
      <c r="C37" s="22">
        <f>IFERROR($B37/$B$12,0)</f>
        <v>0</v>
      </c>
      <c r="D37" s="22"/>
    </row>
    <row r="38" spans="1:6" x14ac:dyDescent="0.25">
      <c r="A38" s="14" t="s">
        <v>18</v>
      </c>
      <c r="B38" s="15">
        <f>COUNTA(MainReport[unlock_at])</f>
        <v>0</v>
      </c>
      <c r="C38" s="22">
        <f>IFERROR($B38/$B$12,0)</f>
        <v>0</v>
      </c>
      <c r="D38" s="22"/>
    </row>
    <row r="39" spans="1:6" x14ac:dyDescent="0.25">
      <c r="A39" s="15" t="s">
        <v>201</v>
      </c>
      <c r="B39" s="15">
        <f>COUNTIF(MainReport[has_overrides],1)</f>
        <v>1</v>
      </c>
      <c r="C39" s="22">
        <f>IFERROR($B39/$B$12,0)</f>
        <v>1.2345679012345678E-2</v>
      </c>
      <c r="D39" s="22"/>
    </row>
    <row r="40" spans="1:6" x14ac:dyDescent="0.25">
      <c r="A40" s="15" t="s">
        <v>23</v>
      </c>
      <c r="C40" s="22"/>
      <c r="D40" s="22"/>
    </row>
    <row r="41" spans="1:6" x14ac:dyDescent="0.25">
      <c r="A41" s="15" t="s">
        <v>24</v>
      </c>
      <c r="B41" s="15">
        <f>COUNTIF(MainReport[due_date_required],1)</f>
        <v>0</v>
      </c>
      <c r="C41" s="22">
        <f t="shared" ref="C41:C51" si="1">IFERROR($B41/$B$12,0)</f>
        <v>0</v>
      </c>
      <c r="D41" s="22"/>
    </row>
    <row r="42" spans="1:6" x14ac:dyDescent="0.25">
      <c r="A42" s="15" t="s">
        <v>26</v>
      </c>
      <c r="B42" s="15">
        <f>COUNTIF(MainReport[turnitin_enabled],1)</f>
        <v>0</v>
      </c>
      <c r="C42" s="22">
        <f t="shared" si="1"/>
        <v>0</v>
      </c>
      <c r="D42" s="22"/>
      <c r="E42" s="32"/>
    </row>
    <row r="43" spans="1:6" x14ac:dyDescent="0.25">
      <c r="A43" s="15" t="s">
        <v>28</v>
      </c>
      <c r="B43" s="15">
        <f>COUNTIF(MainReport[grade_group_students_individually],1)</f>
        <v>2</v>
      </c>
      <c r="C43" s="22">
        <f t="shared" si="1"/>
        <v>2.4691358024691357E-2</v>
      </c>
      <c r="D43" s="22"/>
    </row>
    <row r="44" spans="1:6" x14ac:dyDescent="0.25">
      <c r="A44" s="15" t="s">
        <v>29</v>
      </c>
      <c r="B44" s="15">
        <f>COUNTIF(MainReport[peer_reviews],1)</f>
        <v>0</v>
      </c>
      <c r="C44" s="22">
        <f t="shared" si="1"/>
        <v>0</v>
      </c>
      <c r="D44" s="22"/>
      <c r="E44" s="23"/>
      <c r="F44" s="16"/>
    </row>
    <row r="45" spans="1:6" x14ac:dyDescent="0.25">
      <c r="A45" s="15" t="s">
        <v>30</v>
      </c>
      <c r="B45" s="15">
        <f>COUNTIF(MainReport[automatic_peer_reviews],1)</f>
        <v>0</v>
      </c>
      <c r="C45" s="22">
        <f t="shared" si="1"/>
        <v>0</v>
      </c>
      <c r="D45" s="22"/>
    </row>
    <row r="46" spans="1:6" x14ac:dyDescent="0.25">
      <c r="A46" s="15" t="s">
        <v>31</v>
      </c>
      <c r="B46" s="15">
        <f>COUNTIF(MainReport[peer_review_count],"&gt;0")</f>
        <v>0</v>
      </c>
      <c r="C46" s="22">
        <f t="shared" si="1"/>
        <v>0</v>
      </c>
      <c r="D46" s="22"/>
    </row>
    <row r="47" spans="1:6" x14ac:dyDescent="0.25">
      <c r="A47" s="15" t="s">
        <v>32</v>
      </c>
      <c r="B47" s="15">
        <f>COUNTA(MainReport[peer_reviews_assign_at])</f>
        <v>0</v>
      </c>
      <c r="C47" s="22">
        <f t="shared" si="1"/>
        <v>0</v>
      </c>
      <c r="D47" s="22"/>
    </row>
    <row r="48" spans="1:6" x14ac:dyDescent="0.25">
      <c r="A48" s="15" t="s">
        <v>33</v>
      </c>
      <c r="B48" s="15">
        <f>COUNTIF(MainReport[intra_group_peer_reviews],1)</f>
        <v>0</v>
      </c>
      <c r="C48" s="22">
        <f t="shared" si="1"/>
        <v>0</v>
      </c>
      <c r="D48" s="22"/>
    </row>
    <row r="49" spans="1:6" x14ac:dyDescent="0.25">
      <c r="A49" s="15" t="s">
        <v>84</v>
      </c>
      <c r="B49" s="15">
        <f>COUNTIF(MainReport[group_category_id],"&gt;0")</f>
        <v>32</v>
      </c>
      <c r="C49" s="22">
        <f t="shared" si="1"/>
        <v>0.39506172839506171</v>
      </c>
      <c r="D49" s="22"/>
    </row>
    <row r="50" spans="1:6" x14ac:dyDescent="0.25">
      <c r="A50" s="15" t="s">
        <v>35</v>
      </c>
      <c r="B50" s="15">
        <f>COUNTIF(MainReport[needs_grading_count],"&gt;0")</f>
        <v>4</v>
      </c>
      <c r="C50" s="22">
        <f t="shared" si="1"/>
        <v>4.9382716049382713E-2</v>
      </c>
      <c r="D50" s="22"/>
    </row>
    <row r="51" spans="1:6" x14ac:dyDescent="0.25">
      <c r="A51" s="15" t="s">
        <v>7</v>
      </c>
      <c r="B51" s="15">
        <f>COUNTIF(MainReport[muted],1)</f>
        <v>56</v>
      </c>
      <c r="C51" s="22">
        <f t="shared" si="1"/>
        <v>0.69135802469135799</v>
      </c>
      <c r="D51" s="22"/>
      <c r="F51" s="15"/>
    </row>
    <row r="52" spans="1:6" x14ac:dyDescent="0.25">
      <c r="A52" s="15" t="s">
        <v>203</v>
      </c>
      <c r="F52" s="15"/>
    </row>
    <row r="53" spans="1:6" x14ac:dyDescent="0.25">
      <c r="A53" s="14">
        <v>0</v>
      </c>
      <c r="B53" s="15">
        <f>COUNTIF(MainReport[points_possible],0)</f>
        <v>2</v>
      </c>
      <c r="C53" s="22">
        <f t="shared" ref="C53:C59" si="2">IFERROR($B53/$B$12,0)</f>
        <v>2.4691358024691357E-2</v>
      </c>
      <c r="D53" s="22"/>
      <c r="F53" s="15"/>
    </row>
    <row r="54" spans="1:6" x14ac:dyDescent="0.25">
      <c r="A54" s="14" t="s">
        <v>85</v>
      </c>
      <c r="B54" s="15">
        <f>COUNTIF(MainReport[points_possible],"&gt;0")</f>
        <v>79</v>
      </c>
      <c r="C54" s="22">
        <f t="shared" si="2"/>
        <v>0.97530864197530864</v>
      </c>
      <c r="D54" s="22"/>
      <c r="F54" s="15"/>
    </row>
    <row r="55" spans="1:6" x14ac:dyDescent="0.25">
      <c r="A55" s="14" t="s">
        <v>86</v>
      </c>
      <c r="B55" s="15">
        <f>COUNTIFS(MainReport[points_possible],"&gt;0",MainReport[points_possible],"&lt;10")</f>
        <v>0</v>
      </c>
      <c r="C55" s="22">
        <f t="shared" si="2"/>
        <v>0</v>
      </c>
      <c r="D55" s="22">
        <f>IFERROR($B55/$B$54,0)</f>
        <v>0</v>
      </c>
      <c r="F55" s="15"/>
    </row>
    <row r="56" spans="1:6" x14ac:dyDescent="0.25">
      <c r="A56" s="14">
        <v>10</v>
      </c>
      <c r="B56" s="15">
        <f>COUNTIF(MainReport[points_possible],10)</f>
        <v>41</v>
      </c>
      <c r="C56" s="22">
        <f t="shared" si="2"/>
        <v>0.50617283950617287</v>
      </c>
      <c r="D56" s="22">
        <f>IFERROR($B56/$B$54,0)</f>
        <v>0.51898734177215189</v>
      </c>
      <c r="F56" s="15"/>
    </row>
    <row r="57" spans="1:6" x14ac:dyDescent="0.25">
      <c r="A57" s="14" t="s">
        <v>87</v>
      </c>
      <c r="B57" s="15">
        <f>COUNTIFS(MainReport[points_possible],"&gt;10",MainReport[points_possible],"&lt;100")</f>
        <v>38</v>
      </c>
      <c r="C57" s="22">
        <f t="shared" si="2"/>
        <v>0.46913580246913578</v>
      </c>
      <c r="D57" s="22">
        <f>IFERROR($B57/$B$54,0)</f>
        <v>0.48101265822784811</v>
      </c>
      <c r="F57" s="15"/>
    </row>
    <row r="58" spans="1:6" x14ac:dyDescent="0.25">
      <c r="A58" s="14">
        <v>100</v>
      </c>
      <c r="B58" s="15">
        <f>COUNTIF(MainReport[points_possible],100)</f>
        <v>0</v>
      </c>
      <c r="C58" s="22">
        <f t="shared" si="2"/>
        <v>0</v>
      </c>
      <c r="D58" s="22">
        <f>IFERROR($B58/$B$54,0)</f>
        <v>0</v>
      </c>
      <c r="F58" s="15"/>
    </row>
    <row r="59" spans="1:6" x14ac:dyDescent="0.25">
      <c r="A59" s="14" t="s">
        <v>88</v>
      </c>
      <c r="B59" s="15">
        <f>COUNTIF(MainReport[points_possible],"&gt;100")</f>
        <v>0</v>
      </c>
      <c r="C59" s="22">
        <f t="shared" si="2"/>
        <v>0</v>
      </c>
      <c r="D59" s="22">
        <f>IFERROR($B59/$B$54,0)</f>
        <v>0</v>
      </c>
      <c r="F59" s="15"/>
    </row>
    <row r="60" spans="1:6" x14ac:dyDescent="0.25">
      <c r="A60" s="15" t="s">
        <v>206</v>
      </c>
      <c r="B60" s="15">
        <f>MAX(MainReport[points_possible])</f>
        <v>50</v>
      </c>
      <c r="C60" s="22"/>
      <c r="D60" s="22"/>
      <c r="F60" s="15"/>
    </row>
    <row r="61" spans="1:6" x14ac:dyDescent="0.25">
      <c r="A61" s="15" t="s">
        <v>205</v>
      </c>
      <c r="B61" s="15">
        <f>COUNTIF(MainReport[points_possible],B60)</f>
        <v>3</v>
      </c>
      <c r="C61" s="22">
        <f>IFERROR($B61/$B$12,0)</f>
        <v>3.7037037037037035E-2</v>
      </c>
      <c r="D61" s="22"/>
      <c r="F61" s="15"/>
    </row>
    <row r="62" spans="1:6" x14ac:dyDescent="0.25">
      <c r="A62" s="15" t="s">
        <v>41</v>
      </c>
      <c r="C62" s="22"/>
      <c r="D62" s="22"/>
      <c r="F62" s="15"/>
    </row>
    <row r="63" spans="1:6" x14ac:dyDescent="0.25">
      <c r="A63" s="14" t="s">
        <v>80</v>
      </c>
      <c r="B63" s="15">
        <f>COUNTIF(MainReport[submission_types],"discussion_topic")</f>
        <v>0</v>
      </c>
      <c r="C63" s="22">
        <f t="shared" ref="C63:C71" si="3">IFERROR($B63/$B$12,0)</f>
        <v>0</v>
      </c>
      <c r="D63" s="22">
        <f t="shared" ref="D63:D70" si="4">IFERROR($B63/SUM($B$63:$B$70),0)</f>
        <v>0</v>
      </c>
      <c r="F63" s="15"/>
    </row>
    <row r="64" spans="1:6" x14ac:dyDescent="0.25">
      <c r="A64" s="14" t="s">
        <v>77</v>
      </c>
      <c r="B64" s="15">
        <f>COUNTIF(MainReport[submission_types],"online_quiz")</f>
        <v>3</v>
      </c>
      <c r="C64" s="22">
        <f t="shared" si="3"/>
        <v>3.7037037037037035E-2</v>
      </c>
      <c r="D64" s="22">
        <f t="shared" si="4"/>
        <v>3.7974683544303799E-2</v>
      </c>
      <c r="F64" s="15"/>
    </row>
    <row r="65" spans="1:6" x14ac:dyDescent="0.25">
      <c r="A65" s="14" t="s">
        <v>89</v>
      </c>
      <c r="B65" s="15">
        <f>COUNTIF(MainReport[submission_types],"on_paper")</f>
        <v>0</v>
      </c>
      <c r="C65" s="22">
        <f t="shared" si="3"/>
        <v>0</v>
      </c>
      <c r="D65" s="22">
        <f t="shared" si="4"/>
        <v>0</v>
      </c>
      <c r="F65" s="15"/>
    </row>
    <row r="66" spans="1:6" x14ac:dyDescent="0.25">
      <c r="A66" s="14" t="s">
        <v>73</v>
      </c>
      <c r="B66" s="15">
        <f>COUNTIF(MainReport[submission_types],"external_tool")</f>
        <v>39</v>
      </c>
      <c r="C66" s="22">
        <f t="shared" si="3"/>
        <v>0.48148148148148145</v>
      </c>
      <c r="D66" s="22">
        <f t="shared" si="4"/>
        <v>0.49367088607594939</v>
      </c>
      <c r="F66" s="15"/>
    </row>
    <row r="67" spans="1:6" x14ac:dyDescent="0.25">
      <c r="A67" s="14" t="s">
        <v>76</v>
      </c>
      <c r="B67" s="15">
        <f>COUNTIF(MainReport[submission_types],"online_text_entry")</f>
        <v>2</v>
      </c>
      <c r="C67" s="22">
        <f t="shared" si="3"/>
        <v>2.4691358024691357E-2</v>
      </c>
      <c r="D67" s="22">
        <f t="shared" si="4"/>
        <v>2.5316455696202531E-2</v>
      </c>
      <c r="F67" s="15"/>
    </row>
    <row r="68" spans="1:6" x14ac:dyDescent="0.25">
      <c r="A68" s="14" t="s">
        <v>78</v>
      </c>
      <c r="B68" s="15">
        <f>COUNTIF(MainReport[submission_types],"online_url")</f>
        <v>14</v>
      </c>
      <c r="C68" s="22">
        <f t="shared" si="3"/>
        <v>0.1728395061728395</v>
      </c>
      <c r="D68" s="22">
        <f t="shared" si="4"/>
        <v>0.17721518987341772</v>
      </c>
      <c r="F68" s="15"/>
    </row>
    <row r="69" spans="1:6" x14ac:dyDescent="0.25">
      <c r="A69" s="14" t="s">
        <v>74</v>
      </c>
      <c r="B69" s="15">
        <f>COUNTIF(MainReport[submission_types],"online_upload")</f>
        <v>2</v>
      </c>
      <c r="C69" s="22">
        <f t="shared" si="3"/>
        <v>2.4691358024691357E-2</v>
      </c>
      <c r="D69" s="22">
        <f t="shared" si="4"/>
        <v>2.5316455696202531E-2</v>
      </c>
      <c r="F69" s="15"/>
    </row>
    <row r="70" spans="1:6" x14ac:dyDescent="0.25">
      <c r="A70" s="14" t="s">
        <v>90</v>
      </c>
      <c r="B70" s="15">
        <f>COUNTIF(MainReport[submission_types],"media_recording")</f>
        <v>19</v>
      </c>
      <c r="C70" s="22">
        <f t="shared" si="3"/>
        <v>0.23456790123456789</v>
      </c>
      <c r="D70" s="22">
        <f t="shared" si="4"/>
        <v>0.24050632911392406</v>
      </c>
      <c r="F70" s="15"/>
    </row>
    <row r="71" spans="1:6" x14ac:dyDescent="0.25">
      <c r="A71" s="14" t="s">
        <v>75</v>
      </c>
      <c r="B71" s="15">
        <f>COUNTIF(MainReport[submission_types],"none")</f>
        <v>2</v>
      </c>
      <c r="C71" s="22">
        <f t="shared" si="3"/>
        <v>2.4691358024691357E-2</v>
      </c>
      <c r="D71" s="22"/>
      <c r="F71" s="15"/>
    </row>
    <row r="72" spans="1:6" x14ac:dyDescent="0.25">
      <c r="A72" s="15" t="s">
        <v>43</v>
      </c>
      <c r="C72" s="22"/>
      <c r="D72" s="22"/>
      <c r="F72" s="15"/>
    </row>
    <row r="73" spans="1:6" x14ac:dyDescent="0.25">
      <c r="A73" s="14" t="s">
        <v>71</v>
      </c>
      <c r="B73" s="15">
        <f>COUNTIF(MainReport[grading_type],"pass_fail")</f>
        <v>0</v>
      </c>
      <c r="C73" s="22">
        <f t="shared" ref="C73:C78" si="5">IFERROR($B73/$B$12,0)</f>
        <v>0</v>
      </c>
      <c r="D73" s="22">
        <f>IFERROR($B73/SUM($B$73:$B$77),0)</f>
        <v>0</v>
      </c>
      <c r="F73" s="15"/>
    </row>
    <row r="74" spans="1:6" x14ac:dyDescent="0.25">
      <c r="A74" s="14" t="s">
        <v>79</v>
      </c>
      <c r="B74" s="15">
        <f>COUNTIF(MainReport[grading_type],"percent")</f>
        <v>0</v>
      </c>
      <c r="C74" s="22">
        <f t="shared" si="5"/>
        <v>0</v>
      </c>
      <c r="D74" s="22">
        <f>IFERROR($B74/SUM($B$73:$B$77),0)</f>
        <v>0</v>
      </c>
      <c r="F74" s="15"/>
    </row>
    <row r="75" spans="1:6" x14ac:dyDescent="0.25">
      <c r="A75" s="14" t="s">
        <v>81</v>
      </c>
      <c r="B75" s="15">
        <f>COUNTIF(MainReport[grading_type],"letter_grade")</f>
        <v>0</v>
      </c>
      <c r="C75" s="22">
        <f t="shared" si="5"/>
        <v>0</v>
      </c>
      <c r="D75" s="22">
        <f>IFERROR($B75/SUM($B$73:$B$77),0)</f>
        <v>0</v>
      </c>
      <c r="F75" s="15"/>
    </row>
    <row r="76" spans="1:6" x14ac:dyDescent="0.25">
      <c r="A76" s="14" t="s">
        <v>70</v>
      </c>
      <c r="B76" s="15">
        <f>COUNTIF(MainReport[grading_type],"gpa_scale")</f>
        <v>0</v>
      </c>
      <c r="C76" s="22">
        <f t="shared" si="5"/>
        <v>0</v>
      </c>
      <c r="D76" s="22">
        <f>IFERROR($B76/SUM($B$73:$B$77),0)</f>
        <v>0</v>
      </c>
      <c r="F76" s="15"/>
    </row>
    <row r="77" spans="1:6" x14ac:dyDescent="0.25">
      <c r="A77" s="14" t="s">
        <v>69</v>
      </c>
      <c r="B77" s="15">
        <f>COUNTIF(MainReport[grading_type],"points")</f>
        <v>81</v>
      </c>
      <c r="C77" s="22">
        <f t="shared" si="5"/>
        <v>1</v>
      </c>
      <c r="D77" s="22">
        <f>IFERROR($B77/SUM($B$73:$B$77),0)</f>
        <v>1</v>
      </c>
      <c r="F77" s="15"/>
    </row>
    <row r="78" spans="1:6" x14ac:dyDescent="0.25">
      <c r="A78" s="15" t="s">
        <v>44</v>
      </c>
      <c r="B78" s="15">
        <f>COUNTIF(MainReport[grading_standard_id],"&gt;0")</f>
        <v>0</v>
      </c>
      <c r="C78" s="22">
        <f t="shared" si="5"/>
        <v>0</v>
      </c>
      <c r="D78" s="22"/>
      <c r="F78" s="15"/>
    </row>
    <row r="79" spans="1:6" x14ac:dyDescent="0.25">
      <c r="A79" s="14" t="s">
        <v>204</v>
      </c>
      <c r="B79" s="29">
        <f t="array" ref="B79">SUM(--(FREQUENCY(IF(MainReport[grading_standard_id]&gt;0,MainReport[grading_standard_id]),MainReport[grading_standard_id])&gt;0))</f>
        <v>0</v>
      </c>
      <c r="C79" s="22"/>
      <c r="D79" s="22"/>
      <c r="F79" s="15"/>
    </row>
    <row r="80" spans="1:6" x14ac:dyDescent="0.25">
      <c r="A80" s="40">
        <v>67</v>
      </c>
      <c r="B80" s="15">
        <f>COUNTIF(MainReport[grading_standard_id],$A80)</f>
        <v>0</v>
      </c>
      <c r="C80" s="22">
        <f t="shared" ref="C80:C102" si="6">IFERROR($B80/$B$12,0)</f>
        <v>0</v>
      </c>
      <c r="D80" s="22">
        <f>IF(SUM($B$80:$B$82)&gt;0,$B80/SUM($B$80:$B$82),0)</f>
        <v>0</v>
      </c>
      <c r="F80" s="15"/>
    </row>
    <row r="81" spans="1:6" x14ac:dyDescent="0.25">
      <c r="A81" s="40">
        <v>112</v>
      </c>
      <c r="B81" s="15">
        <f>COUNTIF(MainReport[grading_standard_id],$A81)</f>
        <v>0</v>
      </c>
      <c r="C81" s="22">
        <f t="shared" si="6"/>
        <v>0</v>
      </c>
      <c r="D81" s="22">
        <f>IF(SUM($B$80:$B$82)&gt;0,$B81/SUM($B$80:$B$82),0)</f>
        <v>0</v>
      </c>
      <c r="F81" s="15"/>
    </row>
    <row r="82" spans="1:6" x14ac:dyDescent="0.25">
      <c r="A82" s="40">
        <v>114</v>
      </c>
      <c r="B82" s="15">
        <f>COUNTIF(MainReport[grading_standard_id],$A82)</f>
        <v>0</v>
      </c>
      <c r="C82" s="22">
        <f t="shared" si="6"/>
        <v>0</v>
      </c>
      <c r="D82" s="22">
        <f>IF(SUM($B$80:$B$82)&gt;0,$B82/SUM($B$80:$B$82),0)</f>
        <v>0</v>
      </c>
      <c r="F82" s="15"/>
    </row>
    <row r="83" spans="1:6" x14ac:dyDescent="0.25">
      <c r="A83" s="15" t="s">
        <v>47</v>
      </c>
      <c r="B83" s="15">
        <f>COUNTIF(MainReport[only_visible_to_overrides],1)</f>
        <v>1</v>
      </c>
      <c r="C83" s="22">
        <f t="shared" si="6"/>
        <v>1.2345679012345678E-2</v>
      </c>
      <c r="D83" s="22"/>
      <c r="E83" s="15" t="s">
        <v>207</v>
      </c>
      <c r="F83" s="15"/>
    </row>
    <row r="84" spans="1:6" x14ac:dyDescent="0.25">
      <c r="A84" s="15" t="s">
        <v>48</v>
      </c>
      <c r="B84" s="15">
        <f>COUNTIF(MainReport[locked_for_user],1)</f>
        <v>0</v>
      </c>
      <c r="C84" s="22">
        <f t="shared" si="6"/>
        <v>0</v>
      </c>
      <c r="D84" s="22"/>
      <c r="F84" s="15"/>
    </row>
    <row r="85" spans="1:6" x14ac:dyDescent="0.25">
      <c r="A85" s="15" t="s">
        <v>49</v>
      </c>
      <c r="B85" s="15">
        <f>COUNTA(MainReport[lock_explanation])</f>
        <v>52</v>
      </c>
      <c r="C85" s="22">
        <f t="shared" si="6"/>
        <v>0.64197530864197527</v>
      </c>
      <c r="D85" s="22"/>
      <c r="F85" s="15"/>
    </row>
    <row r="86" spans="1:6" x14ac:dyDescent="0.25">
      <c r="A86" s="15" t="s">
        <v>208</v>
      </c>
      <c r="B86" s="15">
        <f>COUNTIF(MainReport[quiz_id],"&gt;0")</f>
        <v>3</v>
      </c>
      <c r="C86" s="22">
        <f t="shared" si="6"/>
        <v>3.7037037037037035E-2</v>
      </c>
      <c r="D86" s="22"/>
      <c r="E86" s="32"/>
      <c r="F86" s="15"/>
    </row>
    <row r="87" spans="1:6" x14ac:dyDescent="0.25">
      <c r="A87" s="15" t="s">
        <v>209</v>
      </c>
      <c r="B87" s="15">
        <f>COUNTIF(MainReport[anonymous_submissions],1)</f>
        <v>0</v>
      </c>
      <c r="C87" s="22">
        <f t="shared" si="6"/>
        <v>0</v>
      </c>
      <c r="D87" s="22"/>
      <c r="F87" s="15"/>
    </row>
    <row r="88" spans="1:6" x14ac:dyDescent="0.25">
      <c r="A88" s="15" t="s">
        <v>52</v>
      </c>
      <c r="B88" s="15">
        <f>COUNTIF(MainReport[freeze_on_copy],1)</f>
        <v>0</v>
      </c>
      <c r="C88" s="22">
        <f t="shared" si="6"/>
        <v>0</v>
      </c>
      <c r="D88" s="22"/>
      <c r="F88" s="15"/>
    </row>
    <row r="89" spans="1:6" x14ac:dyDescent="0.25">
      <c r="A89" s="15" t="s">
        <v>53</v>
      </c>
      <c r="B89" s="15">
        <f>COUNTIF(MainReport[frozen],1)</f>
        <v>0</v>
      </c>
      <c r="C89" s="22">
        <f t="shared" si="6"/>
        <v>0</v>
      </c>
      <c r="D89" s="22"/>
      <c r="F89" s="15"/>
    </row>
    <row r="90" spans="1:6" x14ac:dyDescent="0.25">
      <c r="A90" s="15" t="s">
        <v>54</v>
      </c>
      <c r="B90" s="15">
        <f>COUNTIF(MainReport[frozen_attributes],1)</f>
        <v>0</v>
      </c>
      <c r="C90" s="22">
        <f t="shared" si="6"/>
        <v>0</v>
      </c>
      <c r="D90" s="22"/>
      <c r="F90" s="15"/>
    </row>
    <row r="91" spans="1:6" x14ac:dyDescent="0.25">
      <c r="A91" s="15" t="s">
        <v>57</v>
      </c>
      <c r="B91" s="15">
        <f>COUNTIF(MainReport[rubric],"&gt;0")</f>
        <v>0</v>
      </c>
      <c r="C91" s="22">
        <f t="shared" si="6"/>
        <v>0</v>
      </c>
      <c r="D91" s="22"/>
      <c r="F91" s="15"/>
    </row>
    <row r="92" spans="1:6" x14ac:dyDescent="0.25">
      <c r="A92" s="15" t="s">
        <v>55</v>
      </c>
      <c r="B92" s="15">
        <f>COUNTIF(MainReport[use_rubric_for_grading],1)</f>
        <v>0</v>
      </c>
      <c r="C92" s="22">
        <f t="shared" si="6"/>
        <v>0</v>
      </c>
      <c r="D92" s="22"/>
      <c r="F92" s="15"/>
    </row>
    <row r="93" spans="1:6" x14ac:dyDescent="0.25">
      <c r="A93" s="15" t="s">
        <v>56</v>
      </c>
      <c r="B93" s="15">
        <f>COUNTIF(MainReport[rubric_settings],"&gt;0")</f>
        <v>0</v>
      </c>
      <c r="C93" s="22">
        <f t="shared" si="6"/>
        <v>0</v>
      </c>
      <c r="D93" s="22"/>
      <c r="F93" s="15"/>
    </row>
    <row r="94" spans="1:6" x14ac:dyDescent="0.25">
      <c r="A94" s="15" t="s">
        <v>58</v>
      </c>
      <c r="B94" s="15">
        <f>COUNTIF(MainReport[omit_from_final_grade],1)</f>
        <v>0</v>
      </c>
      <c r="C94" s="22">
        <f t="shared" si="6"/>
        <v>0</v>
      </c>
      <c r="D94" s="22"/>
      <c r="F94" s="15"/>
    </row>
    <row r="95" spans="1:6" x14ac:dyDescent="0.25">
      <c r="A95" s="15" t="s">
        <v>59</v>
      </c>
      <c r="B95" s="15">
        <f>COUNTIF(MainReport[moderated_grading],1)</f>
        <v>0</v>
      </c>
      <c r="C95" s="22">
        <f t="shared" si="6"/>
        <v>0</v>
      </c>
      <c r="D95" s="22"/>
      <c r="F95" s="15"/>
    </row>
    <row r="96" spans="1:6" x14ac:dyDescent="0.25">
      <c r="A96" s="15" t="s">
        <v>60</v>
      </c>
      <c r="B96" s="15">
        <f>COUNTIF(MainReport[grader_count],"&gt;0")</f>
        <v>0</v>
      </c>
      <c r="C96" s="22">
        <f t="shared" si="6"/>
        <v>0</v>
      </c>
      <c r="D96" s="22"/>
      <c r="F96" s="15"/>
    </row>
    <row r="97" spans="1:6" x14ac:dyDescent="0.25">
      <c r="A97" s="15" t="s">
        <v>61</v>
      </c>
      <c r="B97" s="15">
        <f>COUNTIF(MainReport[final_grader_id],"&gt;0")</f>
        <v>0</v>
      </c>
      <c r="C97" s="22">
        <f t="shared" si="6"/>
        <v>0</v>
      </c>
      <c r="D97" s="22"/>
      <c r="F97" s="15"/>
    </row>
    <row r="98" spans="1:6" x14ac:dyDescent="0.25">
      <c r="A98" s="15" t="s">
        <v>62</v>
      </c>
      <c r="B98" s="15">
        <f>COUNTIF(MainReport[grader_comments_visible_to_graders],1)</f>
        <v>81</v>
      </c>
      <c r="C98" s="22">
        <f t="shared" si="6"/>
        <v>1</v>
      </c>
      <c r="D98" s="22"/>
      <c r="F98" s="15"/>
    </row>
    <row r="99" spans="1:6" x14ac:dyDescent="0.25">
      <c r="A99" s="15" t="s">
        <v>63</v>
      </c>
      <c r="B99" s="15">
        <f>COUNTIF(MainReport[graders_anonymous_to_graders],1)</f>
        <v>0</v>
      </c>
      <c r="C99" s="22">
        <f t="shared" si="6"/>
        <v>0</v>
      </c>
      <c r="D99" s="22"/>
      <c r="F99" s="15"/>
    </row>
    <row r="100" spans="1:6" x14ac:dyDescent="0.25">
      <c r="A100" s="15" t="s">
        <v>64</v>
      </c>
      <c r="B100" s="15">
        <f>COUNTIF(MainReport[grader_names_visible_to_final_grader],1)</f>
        <v>81</v>
      </c>
      <c r="C100" s="22">
        <f t="shared" si="6"/>
        <v>1</v>
      </c>
      <c r="D100" s="22"/>
      <c r="F100" s="15"/>
    </row>
    <row r="101" spans="1:6" x14ac:dyDescent="0.25">
      <c r="A101" s="15" t="s">
        <v>65</v>
      </c>
      <c r="B101" s="15">
        <f>COUNTIF(MainReport[anonymous_grading],1)</f>
        <v>0</v>
      </c>
      <c r="C101" s="22">
        <f t="shared" si="6"/>
        <v>0</v>
      </c>
      <c r="D101" s="22"/>
      <c r="F101" s="15"/>
    </row>
    <row r="102" spans="1:6" x14ac:dyDescent="0.25">
      <c r="A102" s="15" t="s">
        <v>217</v>
      </c>
      <c r="B102" s="15">
        <f>COUNTIF(MainReport[allowed_attempts],"&gt;0")</f>
        <v>0</v>
      </c>
      <c r="C102" s="22">
        <f t="shared" si="6"/>
        <v>0</v>
      </c>
      <c r="D102" s="22"/>
      <c r="F102" s="15"/>
    </row>
  </sheetData>
  <sheetProtection sheet="1" objects="1" scenarios="1"/>
  <conditionalFormatting sqref="A2:C2">
    <cfRule type="expression" dxfId="3" priority="10">
      <formula>$C$2&lt;1</formula>
    </cfRule>
  </conditionalFormatting>
  <conditionalFormatting sqref="D1:D1048576">
    <cfRule type="dataBar" priority="9">
      <dataBar>
        <cfvo type="min"/>
        <cfvo type="max"/>
        <color rgb="FFFFB628"/>
      </dataBar>
      <extLst>
        <ext xmlns:x14="http://schemas.microsoft.com/office/spreadsheetml/2009/9/main" uri="{B025F937-C7B1-47D3-B67F-A62EFF666E3E}">
          <x14:id>{A5BE9EB5-6177-4B7B-9A70-D0592998F38E}</x14:id>
        </ext>
      </extLst>
    </cfRule>
  </conditionalFormatting>
  <conditionalFormatting sqref="C1:C1048576">
    <cfRule type="dataBar" priority="18">
      <dataBar>
        <cfvo type="min"/>
        <cfvo type="max"/>
        <color rgb="FFFFB628"/>
      </dataBar>
      <extLst>
        <ext xmlns:x14="http://schemas.microsoft.com/office/spreadsheetml/2009/9/main" uri="{B025F937-C7B1-47D3-B67F-A62EFF666E3E}">
          <x14:id>{89CAFD77-6946-400A-B445-27EC9BC37B54}</x14:id>
        </ext>
      </extLst>
    </cfRule>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A5BE9EB5-6177-4B7B-9A70-D0592998F38E}">
            <x14:dataBar minLength="0" maxLength="100" border="1" negativeBarBorderColorSameAsPositive="0">
              <x14:cfvo type="autoMin"/>
              <x14:cfvo type="autoMax"/>
              <x14:borderColor rgb="FFFFB628"/>
              <x14:negativeFillColor rgb="FFFF0000"/>
              <x14:negativeBorderColor rgb="FFFF0000"/>
              <x14:axisColor rgb="FF000000"/>
            </x14:dataBar>
          </x14:cfRule>
          <xm:sqref>D1:D1048576</xm:sqref>
        </x14:conditionalFormatting>
        <x14:conditionalFormatting xmlns:xm="http://schemas.microsoft.com/office/excel/2006/main">
          <x14:cfRule type="dataBar" id="{89CAFD77-6946-400A-B445-27EC9BC37B54}">
            <x14:dataBar minLength="0" maxLength="100" border="1" negativeBarBorderColorSameAsPositive="0">
              <x14:cfvo type="autoMin"/>
              <x14:cfvo type="autoMax"/>
              <x14:borderColor rgb="FFFFB628"/>
              <x14:negativeFillColor rgb="FFFF0000"/>
              <x14:negativeBorderColor rgb="FFFF0000"/>
              <x14:axisColor rgb="FF000000"/>
            </x14:dataBar>
          </x14:cfRule>
          <xm:sqref>C1:C1048576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C70"/>
  <sheetViews>
    <sheetView workbookViewId="0"/>
  </sheetViews>
  <sheetFormatPr defaultRowHeight="15" x14ac:dyDescent="0.25"/>
  <cols>
    <col min="1" max="1" width="35.85546875" bestFit="1" customWidth="1"/>
    <col min="2" max="2" width="28.140625" customWidth="1"/>
    <col min="3" max="3" width="95.5703125" customWidth="1"/>
  </cols>
  <sheetData>
    <row r="1" spans="1:3" x14ac:dyDescent="0.25">
      <c r="A1" s="24" t="s">
        <v>99</v>
      </c>
      <c r="B1" s="25" t="s">
        <v>100</v>
      </c>
    </row>
    <row r="3" spans="1:3" x14ac:dyDescent="0.25">
      <c r="A3" s="24" t="s">
        <v>101</v>
      </c>
      <c r="B3" s="24" t="s">
        <v>102</v>
      </c>
      <c r="C3" s="24" t="s">
        <v>103</v>
      </c>
    </row>
    <row r="4" spans="1:3" x14ac:dyDescent="0.25">
      <c r="A4" s="26" t="s">
        <v>104</v>
      </c>
      <c r="B4" s="27">
        <v>4</v>
      </c>
      <c r="C4" s="27" t="s">
        <v>105</v>
      </c>
    </row>
    <row r="5" spans="1:3" x14ac:dyDescent="0.25">
      <c r="A5" s="26" t="s">
        <v>106</v>
      </c>
      <c r="B5" s="27" t="s">
        <v>107</v>
      </c>
      <c r="C5" s="27" t="s">
        <v>108</v>
      </c>
    </row>
    <row r="6" spans="1:3" x14ac:dyDescent="0.25">
      <c r="A6" s="26" t="s">
        <v>13</v>
      </c>
      <c r="B6" s="27" t="s">
        <v>109</v>
      </c>
      <c r="C6" s="27" t="s">
        <v>110</v>
      </c>
    </row>
    <row r="7" spans="1:3" x14ac:dyDescent="0.25">
      <c r="A7" s="26" t="s">
        <v>14</v>
      </c>
      <c r="B7" s="27" t="s">
        <v>111</v>
      </c>
      <c r="C7" s="27" t="s">
        <v>112</v>
      </c>
    </row>
    <row r="8" spans="1:3" x14ac:dyDescent="0.25">
      <c r="A8" s="26" t="s">
        <v>15</v>
      </c>
      <c r="B8" s="27" t="s">
        <v>111</v>
      </c>
      <c r="C8" s="27" t="s">
        <v>113</v>
      </c>
    </row>
    <row r="9" spans="1:3" ht="30" x14ac:dyDescent="0.25">
      <c r="A9" s="26" t="s">
        <v>16</v>
      </c>
      <c r="B9" s="27" t="s">
        <v>111</v>
      </c>
      <c r="C9" s="27" t="s">
        <v>114</v>
      </c>
    </row>
    <row r="10" spans="1:3" ht="45" x14ac:dyDescent="0.25">
      <c r="A10" s="26" t="s">
        <v>17</v>
      </c>
      <c r="B10" s="27" t="s">
        <v>111</v>
      </c>
      <c r="C10" s="27" t="s">
        <v>115</v>
      </c>
    </row>
    <row r="11" spans="1:3" ht="45" x14ac:dyDescent="0.25">
      <c r="A11" s="26" t="s">
        <v>18</v>
      </c>
      <c r="B11" s="27" t="s">
        <v>111</v>
      </c>
      <c r="C11" s="27" t="s">
        <v>116</v>
      </c>
    </row>
    <row r="12" spans="1:3" x14ac:dyDescent="0.25">
      <c r="A12" s="26" t="s">
        <v>19</v>
      </c>
      <c r="B12" s="27" t="b">
        <v>1</v>
      </c>
      <c r="C12" s="27" t="s">
        <v>117</v>
      </c>
    </row>
    <row r="13" spans="1:3" x14ac:dyDescent="0.25">
      <c r="A13" s="26" t="s">
        <v>118</v>
      </c>
      <c r="B13" s="27" t="s">
        <v>119</v>
      </c>
      <c r="C13" s="27" t="s">
        <v>120</v>
      </c>
    </row>
    <row r="14" spans="1:3" x14ac:dyDescent="0.25">
      <c r="A14" s="26" t="s">
        <v>20</v>
      </c>
      <c r="B14" s="27">
        <v>123</v>
      </c>
      <c r="C14" s="27" t="s">
        <v>121</v>
      </c>
    </row>
    <row r="15" spans="1:3" x14ac:dyDescent="0.25">
      <c r="A15" s="26" t="s">
        <v>21</v>
      </c>
      <c r="B15" s="27" t="s">
        <v>122</v>
      </c>
      <c r="C15" s="27" t="s">
        <v>123</v>
      </c>
    </row>
    <row r="16" spans="1:3" ht="45" x14ac:dyDescent="0.25">
      <c r="A16" s="26" t="s">
        <v>22</v>
      </c>
      <c r="B16" s="27" t="s">
        <v>124</v>
      </c>
      <c r="C16" s="27" t="s">
        <v>125</v>
      </c>
    </row>
    <row r="17" spans="1:3" x14ac:dyDescent="0.25">
      <c r="A17" s="26" t="s">
        <v>23</v>
      </c>
      <c r="B17" s="27">
        <v>2</v>
      </c>
      <c r="C17" s="27" t="s">
        <v>126</v>
      </c>
    </row>
    <row r="18" spans="1:3" x14ac:dyDescent="0.25">
      <c r="A18" s="26" t="s">
        <v>24</v>
      </c>
      <c r="B18" s="27" t="b">
        <v>1</v>
      </c>
      <c r="C18" s="27" t="s">
        <v>127</v>
      </c>
    </row>
    <row r="19" spans="1:3" x14ac:dyDescent="0.25">
      <c r="A19" s="26" t="s">
        <v>128</v>
      </c>
      <c r="B19" s="27" t="s">
        <v>129</v>
      </c>
      <c r="C19" s="27" t="s">
        <v>130</v>
      </c>
    </row>
    <row r="20" spans="1:3" x14ac:dyDescent="0.25">
      <c r="A20" s="26" t="s">
        <v>25</v>
      </c>
      <c r="B20" s="27">
        <v>15</v>
      </c>
      <c r="C20" s="27" t="s">
        <v>131</v>
      </c>
    </row>
    <row r="21" spans="1:3" ht="30" x14ac:dyDescent="0.25">
      <c r="A21" s="26" t="s">
        <v>26</v>
      </c>
      <c r="B21" s="27" t="b">
        <v>1</v>
      </c>
      <c r="C21" s="27" t="s">
        <v>132</v>
      </c>
    </row>
    <row r="22" spans="1:3" ht="30" x14ac:dyDescent="0.25">
      <c r="A22" s="26" t="s">
        <v>27</v>
      </c>
      <c r="B22" s="27" t="b">
        <v>1</v>
      </c>
      <c r="C22" s="27" t="s">
        <v>133</v>
      </c>
    </row>
    <row r="23" spans="1:3" ht="105" x14ac:dyDescent="0.25">
      <c r="A23" s="26" t="s">
        <v>134</v>
      </c>
      <c r="B23" s="27" t="s">
        <v>119</v>
      </c>
      <c r="C23" s="27" t="s">
        <v>135</v>
      </c>
    </row>
    <row r="24" spans="1:3" ht="30" x14ac:dyDescent="0.25">
      <c r="A24" s="26" t="s">
        <v>28</v>
      </c>
      <c r="B24" s="27" t="b">
        <v>0</v>
      </c>
      <c r="C24" s="27" t="s">
        <v>136</v>
      </c>
    </row>
    <row r="25" spans="1:3" ht="45" x14ac:dyDescent="0.25">
      <c r="A25" s="26" t="s">
        <v>137</v>
      </c>
      <c r="B25" s="27" t="s">
        <v>119</v>
      </c>
      <c r="C25" s="27" t="s">
        <v>138</v>
      </c>
    </row>
    <row r="26" spans="1:3" x14ac:dyDescent="0.25">
      <c r="A26" s="26" t="s">
        <v>29</v>
      </c>
      <c r="B26" s="27" t="b">
        <v>0</v>
      </c>
      <c r="C26" s="27" t="s">
        <v>139</v>
      </c>
    </row>
    <row r="27" spans="1:3" ht="30" x14ac:dyDescent="0.25">
      <c r="A27" s="26" t="s">
        <v>30</v>
      </c>
      <c r="B27" s="27" t="b">
        <v>0</v>
      </c>
      <c r="C27" s="27" t="s">
        <v>140</v>
      </c>
    </row>
    <row r="28" spans="1:3" ht="30" x14ac:dyDescent="0.25">
      <c r="A28" s="26" t="s">
        <v>31</v>
      </c>
      <c r="B28" s="27">
        <v>0</v>
      </c>
      <c r="C28" s="27" t="s">
        <v>141</v>
      </c>
    </row>
    <row r="29" spans="1:3" ht="45" x14ac:dyDescent="0.25">
      <c r="A29" s="26" t="s">
        <v>32</v>
      </c>
      <c r="B29" s="27" t="s">
        <v>111</v>
      </c>
      <c r="C29" s="27" t="s">
        <v>142</v>
      </c>
    </row>
    <row r="30" spans="1:3" ht="30" x14ac:dyDescent="0.25">
      <c r="A30" s="26" t="s">
        <v>33</v>
      </c>
      <c r="B30" s="27" t="b">
        <v>0</v>
      </c>
      <c r="C30" s="27" t="s">
        <v>143</v>
      </c>
    </row>
    <row r="31" spans="1:3" ht="30" x14ac:dyDescent="0.25">
      <c r="A31" s="26" t="s">
        <v>34</v>
      </c>
      <c r="B31" s="27">
        <v>1</v>
      </c>
      <c r="C31" s="27" t="s">
        <v>144</v>
      </c>
    </row>
    <row r="32" spans="1:3" x14ac:dyDescent="0.25">
      <c r="A32" s="26" t="s">
        <v>35</v>
      </c>
      <c r="B32" s="27">
        <v>17</v>
      </c>
      <c r="C32" s="27" t="s">
        <v>145</v>
      </c>
    </row>
    <row r="33" spans="1:3" ht="75" x14ac:dyDescent="0.25">
      <c r="A33" s="26" t="s">
        <v>146</v>
      </c>
      <c r="B33" s="27" t="s">
        <v>147</v>
      </c>
      <c r="C33" s="27" t="s">
        <v>148</v>
      </c>
    </row>
    <row r="34" spans="1:3" x14ac:dyDescent="0.25">
      <c r="A34" s="26" t="s">
        <v>36</v>
      </c>
      <c r="B34" s="27">
        <v>1</v>
      </c>
      <c r="C34" s="27" t="s">
        <v>149</v>
      </c>
    </row>
    <row r="35" spans="1:3" x14ac:dyDescent="0.25">
      <c r="A35" s="26" t="s">
        <v>37</v>
      </c>
      <c r="B35" s="27" t="b">
        <v>1</v>
      </c>
      <c r="C35" s="27" t="s">
        <v>150</v>
      </c>
    </row>
    <row r="36" spans="1:3" x14ac:dyDescent="0.25">
      <c r="A36" s="26" t="s">
        <v>38</v>
      </c>
      <c r="B36" s="27">
        <v>12341234</v>
      </c>
      <c r="C36" s="27" t="s">
        <v>151</v>
      </c>
    </row>
    <row r="37" spans="1:3" x14ac:dyDescent="0.25">
      <c r="A37" s="26" t="s">
        <v>39</v>
      </c>
      <c r="B37" s="27">
        <v>12341234</v>
      </c>
      <c r="C37" s="27" t="s">
        <v>152</v>
      </c>
    </row>
    <row r="38" spans="1:3" x14ac:dyDescent="0.25">
      <c r="A38" s="26" t="s">
        <v>7</v>
      </c>
      <c r="B38" s="27" t="s">
        <v>119</v>
      </c>
      <c r="C38" s="27" t="s">
        <v>153</v>
      </c>
    </row>
    <row r="39" spans="1:3" x14ac:dyDescent="0.25">
      <c r="A39" s="26" t="s">
        <v>40</v>
      </c>
      <c r="B39" s="27">
        <v>12</v>
      </c>
      <c r="C39" s="27" t="s">
        <v>154</v>
      </c>
    </row>
    <row r="40" spans="1:3" ht="45" x14ac:dyDescent="0.25">
      <c r="A40" s="26" t="s">
        <v>41</v>
      </c>
      <c r="B40" s="27" t="s">
        <v>155</v>
      </c>
      <c r="C40" s="27" t="s">
        <v>156</v>
      </c>
    </row>
    <row r="41" spans="1:3" x14ac:dyDescent="0.25">
      <c r="A41" s="26" t="s">
        <v>42</v>
      </c>
      <c r="B41" s="27" t="b">
        <v>1</v>
      </c>
      <c r="C41" s="27" t="s">
        <v>157</v>
      </c>
    </row>
    <row r="42" spans="1:3" ht="30" x14ac:dyDescent="0.25">
      <c r="A42" s="26" t="s">
        <v>43</v>
      </c>
      <c r="B42" s="27" t="s">
        <v>69</v>
      </c>
      <c r="C42" s="27" t="s">
        <v>158</v>
      </c>
    </row>
    <row r="43" spans="1:3" ht="30" x14ac:dyDescent="0.25">
      <c r="A43" s="26" t="s">
        <v>44</v>
      </c>
      <c r="B43" s="27" t="s">
        <v>119</v>
      </c>
      <c r="C43" s="27" t="s">
        <v>159</v>
      </c>
    </row>
    <row r="44" spans="1:3" x14ac:dyDescent="0.25">
      <c r="A44" s="26" t="s">
        <v>45</v>
      </c>
      <c r="B44" s="27" t="b">
        <v>1</v>
      </c>
      <c r="C44" s="27" t="s">
        <v>160</v>
      </c>
    </row>
    <row r="45" spans="1:3" ht="30" x14ac:dyDescent="0.25">
      <c r="A45" s="26" t="s">
        <v>46</v>
      </c>
      <c r="B45" s="27" t="b">
        <v>0</v>
      </c>
      <c r="C45" s="27" t="s">
        <v>161</v>
      </c>
    </row>
    <row r="46" spans="1:3" x14ac:dyDescent="0.25">
      <c r="A46" s="26" t="s">
        <v>47</v>
      </c>
      <c r="B46" s="27" t="b">
        <v>0</v>
      </c>
      <c r="C46" s="27" t="s">
        <v>162</v>
      </c>
    </row>
    <row r="47" spans="1:3" x14ac:dyDescent="0.25">
      <c r="A47" s="26" t="s">
        <v>48</v>
      </c>
      <c r="B47" s="27" t="b">
        <v>0</v>
      </c>
      <c r="C47" s="27" t="s">
        <v>163</v>
      </c>
    </row>
    <row r="48" spans="1:3" x14ac:dyDescent="0.25">
      <c r="A48" s="26" t="s">
        <v>164</v>
      </c>
      <c r="B48" s="27" t="s">
        <v>119</v>
      </c>
      <c r="C48" s="27" t="s">
        <v>165</v>
      </c>
    </row>
    <row r="49" spans="1:3" ht="30" x14ac:dyDescent="0.25">
      <c r="A49" s="26" t="s">
        <v>49</v>
      </c>
      <c r="B49" s="27" t="s">
        <v>166</v>
      </c>
      <c r="C49" s="27" t="s">
        <v>167</v>
      </c>
    </row>
    <row r="50" spans="1:3" x14ac:dyDescent="0.25">
      <c r="A50" s="26" t="s">
        <v>50</v>
      </c>
      <c r="B50" s="27">
        <v>620</v>
      </c>
      <c r="C50" s="27" t="s">
        <v>168</v>
      </c>
    </row>
    <row r="51" spans="1:3" x14ac:dyDescent="0.25">
      <c r="A51" s="26" t="s">
        <v>51</v>
      </c>
      <c r="B51" s="27" t="b">
        <v>0</v>
      </c>
      <c r="C51" s="27" t="s">
        <v>169</v>
      </c>
    </row>
    <row r="52" spans="1:3" x14ac:dyDescent="0.25">
      <c r="A52" s="26" t="s">
        <v>80</v>
      </c>
      <c r="B52" s="27" t="s">
        <v>119</v>
      </c>
      <c r="C52" s="27" t="s">
        <v>170</v>
      </c>
    </row>
    <row r="53" spans="1:3" ht="30" x14ac:dyDescent="0.25">
      <c r="A53" s="26" t="s">
        <v>52</v>
      </c>
      <c r="B53" s="27" t="b">
        <v>0</v>
      </c>
      <c r="C53" s="27" t="s">
        <v>171</v>
      </c>
    </row>
    <row r="54" spans="1:3" ht="30" x14ac:dyDescent="0.25">
      <c r="A54" s="26" t="s">
        <v>53</v>
      </c>
      <c r="B54" s="27" t="b">
        <v>0</v>
      </c>
      <c r="C54" s="27" t="s">
        <v>172</v>
      </c>
    </row>
    <row r="55" spans="1:3" ht="90" x14ac:dyDescent="0.25">
      <c r="A55" s="26" t="s">
        <v>54</v>
      </c>
      <c r="B55" s="27" t="s">
        <v>173</v>
      </c>
      <c r="C55" s="27" t="s">
        <v>174</v>
      </c>
    </row>
    <row r="56" spans="1:3" ht="60" x14ac:dyDescent="0.25">
      <c r="A56" s="26" t="s">
        <v>175</v>
      </c>
      <c r="B56" s="27" t="s">
        <v>119</v>
      </c>
      <c r="C56" s="27" t="s">
        <v>176</v>
      </c>
    </row>
    <row r="57" spans="1:3" ht="30" x14ac:dyDescent="0.25">
      <c r="A57" s="26" t="s">
        <v>55</v>
      </c>
      <c r="B57" s="27" t="b">
        <v>1</v>
      </c>
      <c r="C57" s="27" t="s">
        <v>177</v>
      </c>
    </row>
    <row r="58" spans="1:3" ht="30" x14ac:dyDescent="0.25">
      <c r="A58" s="26" t="s">
        <v>56</v>
      </c>
      <c r="B58" s="27" t="s">
        <v>178</v>
      </c>
      <c r="C58" s="27" t="s">
        <v>179</v>
      </c>
    </row>
    <row r="59" spans="1:3" ht="30" x14ac:dyDescent="0.25">
      <c r="A59" s="26" t="s">
        <v>57</v>
      </c>
      <c r="B59" s="27" t="s">
        <v>119</v>
      </c>
      <c r="C59" s="27" t="s">
        <v>180</v>
      </c>
    </row>
    <row r="60" spans="1:3" ht="30" x14ac:dyDescent="0.25">
      <c r="A60" s="26" t="s">
        <v>181</v>
      </c>
      <c r="B60" s="27" t="s">
        <v>182</v>
      </c>
      <c r="C60" s="27" t="s">
        <v>183</v>
      </c>
    </row>
    <row r="61" spans="1:3" ht="30" x14ac:dyDescent="0.25">
      <c r="A61" s="26" t="s">
        <v>184</v>
      </c>
      <c r="B61" s="27" t="s">
        <v>119</v>
      </c>
      <c r="C61" s="27" t="s">
        <v>185</v>
      </c>
    </row>
    <row r="62" spans="1:3" x14ac:dyDescent="0.25">
      <c r="A62" s="26" t="s">
        <v>58</v>
      </c>
      <c r="B62" s="27" t="b">
        <v>1</v>
      </c>
      <c r="C62" s="27" t="s">
        <v>186</v>
      </c>
    </row>
    <row r="63" spans="1:3" x14ac:dyDescent="0.25">
      <c r="A63" s="26" t="s">
        <v>59</v>
      </c>
      <c r="B63" s="27" t="b">
        <v>1</v>
      </c>
      <c r="C63" s="27" t="s">
        <v>187</v>
      </c>
    </row>
    <row r="64" spans="1:3" ht="60" x14ac:dyDescent="0.25">
      <c r="A64" s="26" t="s">
        <v>60</v>
      </c>
      <c r="B64" s="27">
        <v>3</v>
      </c>
      <c r="C64" s="27" t="s">
        <v>188</v>
      </c>
    </row>
    <row r="65" spans="1:3" ht="30" x14ac:dyDescent="0.25">
      <c r="A65" s="26" t="s">
        <v>61</v>
      </c>
      <c r="B65" s="27">
        <v>3</v>
      </c>
      <c r="C65" s="27" t="s">
        <v>189</v>
      </c>
    </row>
    <row r="66" spans="1:3" ht="30" x14ac:dyDescent="0.25">
      <c r="A66" s="26" t="s">
        <v>62</v>
      </c>
      <c r="B66" s="27" t="b">
        <v>1</v>
      </c>
      <c r="C66" s="27" t="s">
        <v>190</v>
      </c>
    </row>
    <row r="67" spans="1:3" ht="30" x14ac:dyDescent="0.25">
      <c r="A67" s="26" t="s">
        <v>63</v>
      </c>
      <c r="B67" s="27" t="b">
        <v>1</v>
      </c>
      <c r="C67" s="27" t="s">
        <v>191</v>
      </c>
    </row>
    <row r="68" spans="1:3" ht="30" x14ac:dyDescent="0.25">
      <c r="A68" s="26" t="s">
        <v>64</v>
      </c>
      <c r="B68" s="27" t="b">
        <v>1</v>
      </c>
      <c r="C68" s="27" t="s">
        <v>192</v>
      </c>
    </row>
    <row r="69" spans="1:3" ht="30" x14ac:dyDescent="0.25">
      <c r="A69" s="26" t="s">
        <v>65</v>
      </c>
      <c r="B69" s="27" t="b">
        <v>1</v>
      </c>
      <c r="C69" s="27" t="s">
        <v>193</v>
      </c>
    </row>
    <row r="70" spans="1:3" x14ac:dyDescent="0.25">
      <c r="A70" s="26" t="s">
        <v>66</v>
      </c>
      <c r="B70" s="27">
        <v>2</v>
      </c>
      <c r="C70" s="27" t="s">
        <v>194</v>
      </c>
    </row>
  </sheetData>
  <hyperlinks>
    <hyperlink ref="B1" r:id="rId1" location="Assignment"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94A85-116F-47D0-BD75-41C023E358CC}">
  <dimension ref="A1:D61"/>
  <sheetViews>
    <sheetView topLeftCell="B2" workbookViewId="0">
      <selection activeCell="B15" sqref="B15"/>
    </sheetView>
  </sheetViews>
  <sheetFormatPr defaultRowHeight="15" x14ac:dyDescent="0.25"/>
  <cols>
    <col min="1" max="1" width="59.7109375" hidden="1" customWidth="1"/>
    <col min="2" max="2" width="52" customWidth="1"/>
    <col min="3" max="3" width="4.140625" customWidth="1"/>
    <col min="4" max="4" width="20.7109375" bestFit="1" customWidth="1"/>
  </cols>
  <sheetData>
    <row r="1" spans="1:4" x14ac:dyDescent="0.25">
      <c r="A1" s="63" t="s">
        <v>6</v>
      </c>
      <c r="B1" t="str">
        <f>UPPER(A1) &amp; " = "&amp;C1</f>
        <v>SIS_COURSE_CODE = 0</v>
      </c>
      <c r="C1">
        <v>0</v>
      </c>
      <c r="D1" t="str">
        <f t="shared" ref="D1:D23" si="0">UPPER(A1)</f>
        <v>SIS_COURSE_CODE</v>
      </c>
    </row>
    <row r="2" spans="1:4" x14ac:dyDescent="0.25">
      <c r="A2" s="64" t="s">
        <v>10</v>
      </c>
      <c r="B2" t="str">
        <f t="shared" ref="B2:B61" si="1">UPPER(A2) &amp; " = "&amp;C2</f>
        <v>COURSE_CODE = 1</v>
      </c>
      <c r="C2">
        <v>1</v>
      </c>
      <c r="D2" t="str">
        <f t="shared" si="0"/>
        <v>COURSE_CODE</v>
      </c>
    </row>
    <row r="3" spans="1:4" x14ac:dyDescent="0.25">
      <c r="A3" s="64" t="s">
        <v>11</v>
      </c>
      <c r="B3" t="str">
        <f t="shared" si="1"/>
        <v>WORKFLOW_STATE = 2</v>
      </c>
      <c r="C3">
        <v>2</v>
      </c>
      <c r="D3" t="str">
        <f t="shared" si="0"/>
        <v>WORKFLOW_STATE</v>
      </c>
    </row>
    <row r="4" spans="1:4" x14ac:dyDescent="0.25">
      <c r="A4" s="64" t="s">
        <v>67</v>
      </c>
      <c r="B4" t="str">
        <f t="shared" si="1"/>
        <v>COURSE_NAME = 3</v>
      </c>
      <c r="C4">
        <v>3</v>
      </c>
      <c r="D4" t="str">
        <f t="shared" si="0"/>
        <v>COURSE_NAME</v>
      </c>
    </row>
    <row r="5" spans="1:4" x14ac:dyDescent="0.25">
      <c r="A5" s="64" t="s">
        <v>235</v>
      </c>
      <c r="B5" t="str">
        <f t="shared" si="1"/>
        <v>ASS_ID = 4</v>
      </c>
      <c r="C5">
        <v>4</v>
      </c>
      <c r="D5" t="str">
        <f t="shared" si="0"/>
        <v>ASS_ID</v>
      </c>
    </row>
    <row r="6" spans="1:4" x14ac:dyDescent="0.25">
      <c r="A6" s="64" t="s">
        <v>68</v>
      </c>
      <c r="B6" t="str">
        <f t="shared" si="1"/>
        <v>ASSIGNMENT_NAME = 5</v>
      </c>
      <c r="C6">
        <v>5</v>
      </c>
      <c r="D6" t="str">
        <f t="shared" si="0"/>
        <v>ASSIGNMENT_NAME</v>
      </c>
    </row>
    <row r="7" spans="1:4" x14ac:dyDescent="0.25">
      <c r="A7" s="64" t="s">
        <v>45</v>
      </c>
      <c r="B7" t="str">
        <f t="shared" si="1"/>
        <v>PUBLISHED = 6</v>
      </c>
      <c r="C7">
        <v>6</v>
      </c>
      <c r="D7" t="str">
        <f t="shared" si="0"/>
        <v>PUBLISHED</v>
      </c>
    </row>
    <row r="8" spans="1:4" x14ac:dyDescent="0.25">
      <c r="A8" s="64" t="s">
        <v>40</v>
      </c>
      <c r="B8" t="str">
        <f t="shared" si="1"/>
        <v>POINTS_POSSIBLE = 7</v>
      </c>
      <c r="C8">
        <v>7</v>
      </c>
      <c r="D8" t="str">
        <f t="shared" si="0"/>
        <v>POINTS_POSSIBLE</v>
      </c>
    </row>
    <row r="9" spans="1:4" x14ac:dyDescent="0.25">
      <c r="A9" s="64" t="s">
        <v>13</v>
      </c>
      <c r="B9" t="str">
        <f t="shared" si="1"/>
        <v>DESCRIPTION = 8</v>
      </c>
      <c r="C9">
        <v>8</v>
      </c>
      <c r="D9" t="str">
        <f t="shared" si="0"/>
        <v>DESCRIPTION</v>
      </c>
    </row>
    <row r="10" spans="1:4" x14ac:dyDescent="0.25">
      <c r="A10" s="64" t="s">
        <v>16</v>
      </c>
      <c r="B10" t="str">
        <f>UPPER(A10) &amp; " = "&amp;C10</f>
        <v>DUE_AT = 9</v>
      </c>
      <c r="C10">
        <v>9</v>
      </c>
      <c r="D10" t="str">
        <f>UPPER(A10)</f>
        <v>DUE_AT</v>
      </c>
    </row>
    <row r="11" spans="1:4" x14ac:dyDescent="0.25">
      <c r="A11" s="64" t="s">
        <v>17</v>
      </c>
      <c r="B11" t="str">
        <f t="shared" si="1"/>
        <v>LOCK_AT = 10</v>
      </c>
      <c r="C11">
        <v>10</v>
      </c>
      <c r="D11" t="str">
        <f t="shared" si="0"/>
        <v>LOCK_AT</v>
      </c>
    </row>
    <row r="12" spans="1:4" x14ac:dyDescent="0.25">
      <c r="A12" s="64" t="s">
        <v>18</v>
      </c>
      <c r="B12" t="str">
        <f t="shared" si="1"/>
        <v>UNLOCK_AT = 11</v>
      </c>
      <c r="C12">
        <v>11</v>
      </c>
      <c r="D12" t="str">
        <f t="shared" si="0"/>
        <v>UNLOCK_AT</v>
      </c>
    </row>
    <row r="13" spans="1:4" x14ac:dyDescent="0.25">
      <c r="A13" s="64" t="s">
        <v>41</v>
      </c>
      <c r="B13" t="str">
        <f t="shared" si="1"/>
        <v>SUBMISSION_TYPES = 12</v>
      </c>
      <c r="C13">
        <v>12</v>
      </c>
      <c r="D13" t="str">
        <f t="shared" si="0"/>
        <v>SUBMISSION_TYPES</v>
      </c>
    </row>
    <row r="14" spans="1:4" x14ac:dyDescent="0.25">
      <c r="A14" s="64" t="s">
        <v>43</v>
      </c>
      <c r="B14" t="str">
        <f t="shared" si="1"/>
        <v>GRADING_TYPE = 13</v>
      </c>
      <c r="C14">
        <v>13</v>
      </c>
      <c r="D14" t="str">
        <f t="shared" si="0"/>
        <v>GRADING_TYPE</v>
      </c>
    </row>
    <row r="15" spans="1:4" x14ac:dyDescent="0.25">
      <c r="A15" s="64" t="s">
        <v>34</v>
      </c>
      <c r="B15" t="str">
        <f t="shared" si="1"/>
        <v>GROUP_CATEGORY_ID = 14</v>
      </c>
      <c r="C15">
        <v>14</v>
      </c>
      <c r="D15" t="str">
        <f t="shared" si="0"/>
        <v>GROUP_CATEGORY_ID</v>
      </c>
    </row>
    <row r="16" spans="1:4" x14ac:dyDescent="0.25">
      <c r="A16" s="64" t="s">
        <v>19</v>
      </c>
      <c r="B16" t="str">
        <f t="shared" si="1"/>
        <v>HAS_OVERRIDES = 15</v>
      </c>
      <c r="C16">
        <v>15</v>
      </c>
      <c r="D16" t="str">
        <f t="shared" si="0"/>
        <v>HAS_OVERRIDES</v>
      </c>
    </row>
    <row r="17" spans="1:4" x14ac:dyDescent="0.25">
      <c r="A17" s="64" t="s">
        <v>20</v>
      </c>
      <c r="B17" t="str">
        <f t="shared" si="1"/>
        <v>COURSE_ID = 16</v>
      </c>
      <c r="C17">
        <v>16</v>
      </c>
      <c r="D17" t="str">
        <f t="shared" si="0"/>
        <v>COURSE_ID</v>
      </c>
    </row>
    <row r="18" spans="1:4" x14ac:dyDescent="0.25">
      <c r="A18" s="64" t="s">
        <v>14</v>
      </c>
      <c r="B18" t="str">
        <f t="shared" si="1"/>
        <v>CREATED_AT = 17</v>
      </c>
      <c r="C18">
        <v>17</v>
      </c>
      <c r="D18" t="str">
        <f t="shared" si="0"/>
        <v>CREATED_AT</v>
      </c>
    </row>
    <row r="19" spans="1:4" x14ac:dyDescent="0.25">
      <c r="A19" s="64" t="s">
        <v>15</v>
      </c>
      <c r="B19" t="str">
        <f t="shared" si="1"/>
        <v>UPDATED_AT = 18</v>
      </c>
      <c r="C19">
        <v>18</v>
      </c>
      <c r="D19" t="str">
        <f t="shared" si="0"/>
        <v>UPDATED_AT</v>
      </c>
    </row>
    <row r="20" spans="1:4" x14ac:dyDescent="0.25">
      <c r="A20" s="64" t="s">
        <v>21</v>
      </c>
      <c r="B20" t="str">
        <f t="shared" si="1"/>
        <v>HTML_URL = 19</v>
      </c>
      <c r="C20">
        <v>19</v>
      </c>
      <c r="D20" t="str">
        <f t="shared" si="0"/>
        <v>HTML_URL</v>
      </c>
    </row>
    <row r="21" spans="1:4" x14ac:dyDescent="0.25">
      <c r="A21" s="64" t="s">
        <v>22</v>
      </c>
      <c r="B21" t="str">
        <f t="shared" si="1"/>
        <v>SUBMISSIONS_DOWNLOAD_URL = 20</v>
      </c>
      <c r="C21">
        <v>20</v>
      </c>
      <c r="D21" t="str">
        <f t="shared" si="0"/>
        <v>SUBMISSIONS_DOWNLOAD_URL</v>
      </c>
    </row>
    <row r="22" spans="1:4" x14ac:dyDescent="0.25">
      <c r="A22" s="64" t="s">
        <v>23</v>
      </c>
      <c r="B22" t="str">
        <f t="shared" si="1"/>
        <v>ASSIGNMENT_GROUP_ID = 21</v>
      </c>
      <c r="C22">
        <v>21</v>
      </c>
      <c r="D22" t="str">
        <f t="shared" si="0"/>
        <v>ASSIGNMENT_GROUP_ID</v>
      </c>
    </row>
    <row r="23" spans="1:4" x14ac:dyDescent="0.25">
      <c r="A23" s="64" t="s">
        <v>24</v>
      </c>
      <c r="B23" t="str">
        <f t="shared" si="1"/>
        <v>DUE_DATE_REQUIRED = 22</v>
      </c>
      <c r="C23">
        <v>22</v>
      </c>
      <c r="D23" t="str">
        <f t="shared" si="0"/>
        <v>DUE_DATE_REQUIRED</v>
      </c>
    </row>
    <row r="24" spans="1:4" x14ac:dyDescent="0.25">
      <c r="A24" s="64" t="s">
        <v>25</v>
      </c>
      <c r="B24" t="str">
        <f t="shared" si="1"/>
        <v>MAX_NAME_LENGTH = 23</v>
      </c>
      <c r="C24">
        <v>23</v>
      </c>
    </row>
    <row r="25" spans="1:4" x14ac:dyDescent="0.25">
      <c r="A25" s="64" t="s">
        <v>26</v>
      </c>
      <c r="B25" t="str">
        <f t="shared" si="1"/>
        <v>TURNITIN_ENABLED = 24</v>
      </c>
      <c r="C25">
        <v>24</v>
      </c>
    </row>
    <row r="26" spans="1:4" x14ac:dyDescent="0.25">
      <c r="A26" s="64" t="s">
        <v>27</v>
      </c>
      <c r="B26" t="str">
        <f t="shared" si="1"/>
        <v>VERICITE_ENABLED = 25</v>
      </c>
      <c r="C26">
        <v>25</v>
      </c>
    </row>
    <row r="27" spans="1:4" x14ac:dyDescent="0.25">
      <c r="A27" s="64" t="s">
        <v>28</v>
      </c>
      <c r="B27" t="str">
        <f t="shared" si="1"/>
        <v>GRADE_GROUP_STUDENTS_INDIVIDUALLY = 26</v>
      </c>
      <c r="C27">
        <v>26</v>
      </c>
    </row>
    <row r="28" spans="1:4" x14ac:dyDescent="0.25">
      <c r="A28" s="64" t="s">
        <v>29</v>
      </c>
      <c r="B28" t="str">
        <f t="shared" si="1"/>
        <v>PEER_REVIEWS = 27</v>
      </c>
      <c r="C28">
        <v>27</v>
      </c>
    </row>
    <row r="29" spans="1:4" x14ac:dyDescent="0.25">
      <c r="A29" s="64" t="s">
        <v>30</v>
      </c>
      <c r="B29" t="str">
        <f t="shared" si="1"/>
        <v>AUTOMATIC_PEER_REVIEWS = 28</v>
      </c>
      <c r="C29">
        <v>28</v>
      </c>
    </row>
    <row r="30" spans="1:4" x14ac:dyDescent="0.25">
      <c r="A30" s="64" t="s">
        <v>31</v>
      </c>
      <c r="B30" t="str">
        <f t="shared" si="1"/>
        <v>PEER_REVIEW_COUNT = 29</v>
      </c>
      <c r="C30">
        <v>29</v>
      </c>
    </row>
    <row r="31" spans="1:4" x14ac:dyDescent="0.25">
      <c r="A31" s="64" t="s">
        <v>32</v>
      </c>
      <c r="B31" t="str">
        <f t="shared" si="1"/>
        <v>PEER_REVIEWS_ASSIGN_AT = 30</v>
      </c>
      <c r="C31">
        <v>30</v>
      </c>
    </row>
    <row r="32" spans="1:4" x14ac:dyDescent="0.25">
      <c r="A32" s="64" t="s">
        <v>33</v>
      </c>
      <c r="B32" t="str">
        <f t="shared" si="1"/>
        <v>INTRA_GROUP_PEER_REVIEWS = 31</v>
      </c>
      <c r="C32">
        <v>31</v>
      </c>
    </row>
    <row r="33" spans="1:3" x14ac:dyDescent="0.25">
      <c r="A33" s="64" t="s">
        <v>35</v>
      </c>
      <c r="B33" t="str">
        <f t="shared" si="1"/>
        <v>NEEDS_GRADING_COUNT = 32</v>
      </c>
      <c r="C33">
        <v>32</v>
      </c>
    </row>
    <row r="34" spans="1:3" x14ac:dyDescent="0.25">
      <c r="A34" s="64" t="s">
        <v>36</v>
      </c>
      <c r="B34" t="str">
        <f t="shared" si="1"/>
        <v>POSITION = 33</v>
      </c>
      <c r="C34">
        <v>33</v>
      </c>
    </row>
    <row r="35" spans="1:3" x14ac:dyDescent="0.25">
      <c r="A35" s="64" t="s">
        <v>37</v>
      </c>
      <c r="B35" t="str">
        <f t="shared" si="1"/>
        <v>POST_TO_SIS = 34</v>
      </c>
      <c r="C35">
        <v>34</v>
      </c>
    </row>
    <row r="36" spans="1:3" x14ac:dyDescent="0.25">
      <c r="A36" s="64" t="s">
        <v>38</v>
      </c>
      <c r="B36" t="str">
        <f t="shared" si="1"/>
        <v>INTEGRATION_ID = 35</v>
      </c>
      <c r="C36">
        <v>35</v>
      </c>
    </row>
    <row r="37" spans="1:3" x14ac:dyDescent="0.25">
      <c r="A37" s="64" t="s">
        <v>39</v>
      </c>
      <c r="B37" t="str">
        <f t="shared" si="1"/>
        <v>INTEGRATION_DATA = 36</v>
      </c>
      <c r="C37">
        <v>36</v>
      </c>
    </row>
    <row r="38" spans="1:3" x14ac:dyDescent="0.25">
      <c r="A38" s="64" t="s">
        <v>7</v>
      </c>
      <c r="B38" t="str">
        <f t="shared" si="1"/>
        <v>MUTED = 37</v>
      </c>
      <c r="C38">
        <v>37</v>
      </c>
    </row>
    <row r="39" spans="1:3" x14ac:dyDescent="0.25">
      <c r="A39" s="64" t="s">
        <v>42</v>
      </c>
      <c r="B39" t="str">
        <f t="shared" si="1"/>
        <v>HAS_SUBMITTED_SUBMISSIONS = 38</v>
      </c>
      <c r="C39">
        <v>38</v>
      </c>
    </row>
    <row r="40" spans="1:3" x14ac:dyDescent="0.25">
      <c r="A40" s="64" t="s">
        <v>44</v>
      </c>
      <c r="B40" t="str">
        <f t="shared" si="1"/>
        <v>GRADING_STANDARD_ID = 39</v>
      </c>
      <c r="C40">
        <v>39</v>
      </c>
    </row>
    <row r="41" spans="1:3" x14ac:dyDescent="0.25">
      <c r="A41" s="64" t="s">
        <v>46</v>
      </c>
      <c r="B41" t="str">
        <f t="shared" si="1"/>
        <v>UNPUBLISHABLE = 40</v>
      </c>
      <c r="C41">
        <v>40</v>
      </c>
    </row>
    <row r="42" spans="1:3" x14ac:dyDescent="0.25">
      <c r="A42" s="64" t="s">
        <v>47</v>
      </c>
      <c r="B42" t="str">
        <f t="shared" si="1"/>
        <v>ONLY_VISIBLE_TO_OVERRIDES = 41</v>
      </c>
      <c r="C42">
        <v>41</v>
      </c>
    </row>
    <row r="43" spans="1:3" x14ac:dyDescent="0.25">
      <c r="A43" s="64" t="s">
        <v>48</v>
      </c>
      <c r="B43" t="str">
        <f t="shared" si="1"/>
        <v>LOCKED_FOR_USER = 42</v>
      </c>
      <c r="C43">
        <v>42</v>
      </c>
    </row>
    <row r="44" spans="1:3" x14ac:dyDescent="0.25">
      <c r="A44" s="64" t="s">
        <v>49</v>
      </c>
      <c r="B44" t="str">
        <f t="shared" si="1"/>
        <v>LOCK_EXPLANATION = 43</v>
      </c>
      <c r="C44">
        <v>43</v>
      </c>
    </row>
    <row r="45" spans="1:3" x14ac:dyDescent="0.25">
      <c r="A45" s="64" t="s">
        <v>50</v>
      </c>
      <c r="B45" t="str">
        <f t="shared" si="1"/>
        <v>QUIZ_ID = 44</v>
      </c>
      <c r="C45">
        <v>44</v>
      </c>
    </row>
    <row r="46" spans="1:3" x14ac:dyDescent="0.25">
      <c r="A46" s="64" t="s">
        <v>51</v>
      </c>
      <c r="B46" t="str">
        <f t="shared" si="1"/>
        <v>ANONYMOUS_SUBMISSIONS = 45</v>
      </c>
      <c r="C46">
        <v>45</v>
      </c>
    </row>
    <row r="47" spans="1:3" x14ac:dyDescent="0.25">
      <c r="A47" s="64" t="s">
        <v>52</v>
      </c>
      <c r="B47" t="str">
        <f t="shared" si="1"/>
        <v>FREEZE_ON_COPY = 46</v>
      </c>
      <c r="C47">
        <v>46</v>
      </c>
    </row>
    <row r="48" spans="1:3" x14ac:dyDescent="0.25">
      <c r="A48" s="64" t="s">
        <v>53</v>
      </c>
      <c r="B48" t="str">
        <f t="shared" si="1"/>
        <v>FROZEN = 47</v>
      </c>
      <c r="C48">
        <v>47</v>
      </c>
    </row>
    <row r="49" spans="1:3" x14ac:dyDescent="0.25">
      <c r="A49" s="64" t="s">
        <v>54</v>
      </c>
      <c r="B49" t="str">
        <f t="shared" si="1"/>
        <v>FROZEN_ATTRIBUTES = 48</v>
      </c>
      <c r="C49">
        <v>48</v>
      </c>
    </row>
    <row r="50" spans="1:3" x14ac:dyDescent="0.25">
      <c r="A50" s="64" t="s">
        <v>55</v>
      </c>
      <c r="B50" t="str">
        <f t="shared" si="1"/>
        <v>USE_RUBRIC_FOR_GRADING = 49</v>
      </c>
      <c r="C50">
        <v>49</v>
      </c>
    </row>
    <row r="51" spans="1:3" x14ac:dyDescent="0.25">
      <c r="A51" s="64" t="s">
        <v>56</v>
      </c>
      <c r="B51" t="str">
        <f t="shared" si="1"/>
        <v>RUBRIC_SETTINGS = 50</v>
      </c>
      <c r="C51">
        <v>50</v>
      </c>
    </row>
    <row r="52" spans="1:3" x14ac:dyDescent="0.25">
      <c r="A52" s="64" t="s">
        <v>57</v>
      </c>
      <c r="B52" t="str">
        <f t="shared" si="1"/>
        <v>RUBRIC = 51</v>
      </c>
      <c r="C52">
        <v>51</v>
      </c>
    </row>
    <row r="53" spans="1:3" x14ac:dyDescent="0.25">
      <c r="A53" s="64" t="s">
        <v>58</v>
      </c>
      <c r="B53" t="str">
        <f t="shared" si="1"/>
        <v>OMIT_FROM_FINAL_GRADE = 52</v>
      </c>
      <c r="C53">
        <v>52</v>
      </c>
    </row>
    <row r="54" spans="1:3" x14ac:dyDescent="0.25">
      <c r="A54" s="64" t="s">
        <v>59</v>
      </c>
      <c r="B54" t="str">
        <f t="shared" si="1"/>
        <v>MODERATED_GRADING = 53</v>
      </c>
      <c r="C54">
        <v>53</v>
      </c>
    </row>
    <row r="55" spans="1:3" x14ac:dyDescent="0.25">
      <c r="A55" s="64" t="s">
        <v>60</v>
      </c>
      <c r="B55" t="str">
        <f t="shared" si="1"/>
        <v>GRADER_COUNT = 54</v>
      </c>
      <c r="C55">
        <v>54</v>
      </c>
    </row>
    <row r="56" spans="1:3" x14ac:dyDescent="0.25">
      <c r="A56" s="64" t="s">
        <v>61</v>
      </c>
      <c r="B56" t="str">
        <f t="shared" si="1"/>
        <v>FINAL_GRADER_ID = 55</v>
      </c>
      <c r="C56">
        <v>55</v>
      </c>
    </row>
    <row r="57" spans="1:3" x14ac:dyDescent="0.25">
      <c r="A57" s="64" t="s">
        <v>62</v>
      </c>
      <c r="B57" t="str">
        <f t="shared" si="1"/>
        <v>GRADER_COMMENTS_VISIBLE_TO_GRADERS = 56</v>
      </c>
      <c r="C57">
        <v>56</v>
      </c>
    </row>
    <row r="58" spans="1:3" x14ac:dyDescent="0.25">
      <c r="A58" s="64" t="s">
        <v>63</v>
      </c>
      <c r="B58" t="str">
        <f t="shared" si="1"/>
        <v>GRADERS_ANONYMOUS_TO_GRADERS = 57</v>
      </c>
      <c r="C58">
        <v>57</v>
      </c>
    </row>
    <row r="59" spans="1:3" x14ac:dyDescent="0.25">
      <c r="A59" s="64" t="s">
        <v>64</v>
      </c>
      <c r="B59" t="str">
        <f t="shared" si="1"/>
        <v>GRADER_NAMES_VISIBLE_TO_FINAL_GRADER = 58</v>
      </c>
      <c r="C59">
        <v>58</v>
      </c>
    </row>
    <row r="60" spans="1:3" x14ac:dyDescent="0.25">
      <c r="A60" s="64" t="s">
        <v>65</v>
      </c>
      <c r="B60" t="str">
        <f t="shared" si="1"/>
        <v>ANONYMOUS_GRADING = 59</v>
      </c>
      <c r="C60">
        <v>59</v>
      </c>
    </row>
    <row r="61" spans="1:3" x14ac:dyDescent="0.25">
      <c r="A61" s="65" t="s">
        <v>66</v>
      </c>
      <c r="B61" t="str">
        <f t="shared" si="1"/>
        <v>ALLOWED_ATTEMPTS = 60</v>
      </c>
      <c r="C61">
        <v>60</v>
      </c>
    </row>
  </sheetData>
  <conditionalFormatting sqref="A10">
    <cfRule type="expression" dxfId="2" priority="3">
      <formula>AND(ROW()&gt;4,$F10&lt;&gt;"",NOT($K$2=""),OR(COUNTA($J10)=0,AND(IFERROR(FIND("{",_xlfn.FORMULATEXT($J10),1)&gt;0,FALSE)=FALSE,$J10&lt;$K$2)))</formula>
    </cfRule>
  </conditionalFormatting>
  <conditionalFormatting sqref="A11">
    <cfRule type="expression" dxfId="1" priority="2">
      <formula>AND(ROW()&gt;4,$F11&lt;&gt;"",NOT($K$2=""),OR(COUNTA($K11)=0,AND(IFERROR(FIND("{",_xlfn.FORMULATEXT($K11),1)&gt;0,FALSE)=FALSE,OR($K11&lt;$K$2,$J11&lt;&gt;$K11))))</formula>
    </cfRule>
  </conditionalFormatting>
  <conditionalFormatting sqref="A12">
    <cfRule type="expression" dxfId="0" priority="1">
      <formula>AND(ROW()&gt;4,$F12&lt;&gt;"",NOT($K$2=""),COUNTA($L12)&gt;0,IFERROR(FIND("{",_xlfn.FORMULATEXT($L12),1)&gt;0,FALSE)=FALSE,$L12&lt;$K$2)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 report</vt:lpstr>
      <vt:lpstr>Analytics</vt:lpstr>
      <vt:lpstr>Info</vt:lpstr>
      <vt:lpstr>Columns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 Stelpstra</dc:creator>
  <cp:lastModifiedBy>Nick Fenger</cp:lastModifiedBy>
  <cp:lastPrinted>2015-11-16T17:41:36Z</cp:lastPrinted>
  <dcterms:created xsi:type="dcterms:W3CDTF">2015-10-08T14:37:16Z</dcterms:created>
  <dcterms:modified xsi:type="dcterms:W3CDTF">2022-06-14T19:04:27Z</dcterms:modified>
</cp:coreProperties>
</file>